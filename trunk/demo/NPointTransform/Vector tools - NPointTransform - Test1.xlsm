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176" yWindow="0" windowWidth="18252" windowHeight="14496" tabRatio="934"/>
  </bookViews>
  <sheets>
    <sheet name="Points-to-Points" sheetId="18" r:id="rId1"/>
  </sheets>
  <calcPr calcId="125725"/>
</workbook>
</file>

<file path=xl/calcChain.xml><?xml version="1.0" encoding="utf-8"?>
<calcChain xmlns="http://schemas.openxmlformats.org/spreadsheetml/2006/main">
  <c r="P16" i="18"/>
  <c r="O16"/>
  <c r="N16"/>
  <c r="P15"/>
  <c r="O15"/>
  <c r="N15"/>
  <c r="P14"/>
  <c r="O14"/>
  <c r="N14"/>
  <c r="P13"/>
  <c r="O13"/>
  <c r="N13"/>
  <c r="P12"/>
  <c r="O12"/>
  <c r="N12"/>
  <c r="K44"/>
  <c r="J44"/>
  <c r="I44"/>
  <c r="K43"/>
  <c r="J43"/>
  <c r="I43"/>
  <c r="K42"/>
  <c r="J42"/>
  <c r="I42"/>
  <c r="K41"/>
  <c r="J41"/>
  <c r="I41"/>
  <c r="K40"/>
  <c r="J40"/>
  <c r="I40"/>
  <c r="K39"/>
  <c r="J39"/>
  <c r="I39"/>
  <c r="K38"/>
  <c r="J38"/>
  <c r="I38"/>
  <c r="K37"/>
  <c r="J37"/>
  <c r="I37"/>
  <c r="I18" a="1"/>
  <c r="K19" l="1"/>
  <c r="K21"/>
  <c r="J19"/>
  <c r="L20"/>
  <c r="P18" s="1"/>
  <c r="I19"/>
  <c r="I21"/>
  <c r="J20"/>
  <c r="L21"/>
  <c r="J18"/>
  <c r="K18"/>
  <c r="K20"/>
  <c r="L18"/>
  <c r="N18" s="1"/>
  <c r="J21"/>
  <c r="I18"/>
  <c r="I20"/>
  <c r="L19"/>
  <c r="O18" s="1"/>
  <c r="Q18" a="1"/>
  <c r="S18" l="1"/>
  <c r="T18"/>
  <c r="R18"/>
  <c r="Q18"/>
  <c r="K35"/>
  <c r="P10" s="1"/>
  <c r="K33"/>
  <c r="P8" s="1"/>
  <c r="K31"/>
  <c r="P6" s="1"/>
  <c r="K36"/>
  <c r="P11" s="1"/>
  <c r="K34"/>
  <c r="P9" s="1"/>
  <c r="K32"/>
  <c r="P7" s="1"/>
  <c r="K30"/>
  <c r="P5" s="1"/>
  <c r="J36"/>
  <c r="O11" s="1"/>
  <c r="J34"/>
  <c r="O9" s="1"/>
  <c r="J32"/>
  <c r="O7" s="1"/>
  <c r="J30"/>
  <c r="O5" s="1"/>
  <c r="J35"/>
  <c r="O10" s="1"/>
  <c r="J33"/>
  <c r="O8" s="1"/>
  <c r="J31"/>
  <c r="O6" s="1"/>
  <c r="I35"/>
  <c r="N10" s="1"/>
  <c r="I33"/>
  <c r="N8" s="1"/>
  <c r="I31"/>
  <c r="N6" s="1"/>
  <c r="I24" a="1"/>
  <c r="I36"/>
  <c r="N11" s="1"/>
  <c r="I34"/>
  <c r="N9" s="1"/>
  <c r="I32"/>
  <c r="N7" s="1"/>
  <c r="I30"/>
  <c r="N5" s="1"/>
  <c r="I27" l="1"/>
  <c r="I25"/>
  <c r="J27"/>
  <c r="L25"/>
  <c r="O24" s="1"/>
  <c r="K27"/>
  <c r="L27"/>
  <c r="J26"/>
  <c r="K26"/>
  <c r="L26"/>
  <c r="P24" s="1"/>
  <c r="J24"/>
  <c r="K25"/>
  <c r="L24"/>
  <c r="N24" s="1"/>
  <c r="K24"/>
  <c r="I26"/>
  <c r="I24"/>
  <c r="J25"/>
  <c r="Q24" a="1"/>
  <c r="T24" l="1"/>
  <c r="Q24"/>
  <c r="R24"/>
  <c r="S24"/>
</calcChain>
</file>

<file path=xl/sharedStrings.xml><?xml version="1.0" encoding="utf-8"?>
<sst xmlns="http://schemas.openxmlformats.org/spreadsheetml/2006/main" count="21" uniqueCount="15">
  <si>
    <t>X</t>
  </si>
  <si>
    <t>Y</t>
  </si>
  <si>
    <t>Z</t>
  </si>
  <si>
    <t>Position #</t>
  </si>
  <si>
    <t>Robot Position</t>
  </si>
  <si>
    <t>Nominal Position</t>
  </si>
  <si>
    <t>Robot positions transformed</t>
  </si>
  <si>
    <t>Residuals</t>
  </si>
  <si>
    <t>XYZ and Quaternion:</t>
  </si>
  <si>
    <t>XYZ and Quaternion for inverse:</t>
  </si>
  <si>
    <t>&lt;&lt; Minimum of 3 points required</t>
  </si>
  <si>
    <t>&lt;&lt;&lt; Fill in only the defined XYZs.  Undefined points entries must be empty.</t>
  </si>
  <si>
    <t>Computed robot-to-nominal matrix</t>
  </si>
  <si>
    <t>Inverse of robot-to-nominal matrix</t>
  </si>
  <si>
    <t>This generates a best-fit mapping from one set of points to another.  The assumption is the points are the same points, simply expressed in different coordinate frames.  If they are not, the residuals will become quite large.
For most robots, they are not accurate, which depends on the quality of the calibration.  Residuals for a well-calibrated robot may be 1-2mm.  A poorly calibrated robot may be as high as 15-20mm.  Most of the robots used for FMS should be in the 1-2mm range.
The XYZ and Quaternion results are to support ABB robot transformations.</t>
  </si>
</sst>
</file>

<file path=xl/styles.xml><?xml version="1.0" encoding="utf-8"?>
<styleSheet xmlns="http://schemas.openxmlformats.org/spreadsheetml/2006/main">
  <numFmts count="3">
    <numFmt numFmtId="165" formatCode="0.0000"/>
    <numFmt numFmtId="167" formatCode="0.0"/>
    <numFmt numFmtId="169" formatCode="0.000000"/>
  </numFmts>
  <fonts count="3">
    <font>
      <sz val="10"/>
      <name val="Arial"/>
    </font>
    <font>
      <sz val="10"/>
      <name val="Arial"/>
      <family val="2"/>
    </font>
    <font>
      <sz val="8"/>
      <name val="Arial"/>
      <family val="2"/>
    </font>
  </fonts>
  <fills count="5">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rgb="FFFFFF00"/>
        <bgColor indexed="64"/>
      </patternFill>
    </fill>
  </fills>
  <borders count="14">
    <border>
      <left/>
      <right/>
      <top/>
      <bottom/>
      <diagonal/>
    </border>
    <border>
      <left/>
      <right/>
      <top style="medium">
        <color indexed="64"/>
      </top>
      <bottom/>
      <diagonal/>
    </border>
    <border>
      <left style="medium">
        <color indexed="64"/>
      </left>
      <right/>
      <top/>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1">
    <xf numFmtId="0" fontId="0" fillId="0" borderId="0"/>
  </cellStyleXfs>
  <cellXfs count="66">
    <xf numFmtId="0" fontId="0" fillId="0" borderId="0" xfId="0"/>
    <xf numFmtId="0" fontId="0" fillId="0" borderId="0" xfId="0" applyBorder="1"/>
    <xf numFmtId="165" fontId="0" fillId="0" borderId="0" xfId="0" applyNumberFormat="1" applyBorder="1"/>
    <xf numFmtId="165" fontId="0" fillId="0" borderId="2" xfId="0" applyNumberFormat="1" applyBorder="1"/>
    <xf numFmtId="0" fontId="0" fillId="0" borderId="0" xfId="0" applyFill="1" applyBorder="1"/>
    <xf numFmtId="167" fontId="0" fillId="0" borderId="2" xfId="0" applyNumberFormat="1" applyBorder="1"/>
    <xf numFmtId="167" fontId="0" fillId="0" borderId="0" xfId="0" applyNumberFormat="1" applyBorder="1"/>
    <xf numFmtId="167" fontId="0" fillId="0" borderId="7" xfId="0" applyNumberFormat="1" applyBorder="1"/>
    <xf numFmtId="167" fontId="0" fillId="0" borderId="4" xfId="0" applyNumberFormat="1" applyBorder="1"/>
    <xf numFmtId="167" fontId="0" fillId="0" borderId="5" xfId="0" applyNumberFormat="1" applyBorder="1"/>
    <xf numFmtId="0" fontId="0" fillId="0" borderId="0" xfId="0" applyAlignment="1">
      <alignment horizontal="center"/>
    </xf>
    <xf numFmtId="0" fontId="0" fillId="0" borderId="13" xfId="0" applyBorder="1" applyAlignment="1">
      <alignment horizontal="center"/>
    </xf>
    <xf numFmtId="0" fontId="0" fillId="0" borderId="2" xfId="0" applyBorder="1" applyAlignment="1">
      <alignment horizontal="center"/>
    </xf>
    <xf numFmtId="0" fontId="0" fillId="0" borderId="0" xfId="0" applyBorder="1" applyAlignment="1">
      <alignment horizontal="center"/>
    </xf>
    <xf numFmtId="0" fontId="0" fillId="0" borderId="7" xfId="0" applyBorder="1" applyAlignment="1">
      <alignment horizontal="center"/>
    </xf>
    <xf numFmtId="169" fontId="0" fillId="0" borderId="5" xfId="0" applyNumberFormat="1" applyBorder="1"/>
    <xf numFmtId="169" fontId="0" fillId="0" borderId="6" xfId="0" applyNumberFormat="1" applyBorder="1"/>
    <xf numFmtId="167" fontId="0" fillId="0" borderId="0" xfId="0" applyNumberFormat="1" applyFill="1" applyBorder="1"/>
    <xf numFmtId="0" fontId="0" fillId="0" borderId="0" xfId="0" applyFill="1" applyBorder="1" applyAlignment="1">
      <alignment horizontal="center"/>
    </xf>
    <xf numFmtId="169" fontId="0" fillId="0" borderId="0" xfId="0" applyNumberFormat="1" applyBorder="1" applyAlignment="1">
      <alignment horizontal="center" vertical="center" wrapText="1"/>
    </xf>
    <xf numFmtId="0" fontId="0" fillId="0" borderId="0" xfId="0" applyBorder="1" applyAlignment="1">
      <alignment horizontal="center" vertical="center" wrapText="1"/>
    </xf>
    <xf numFmtId="165" fontId="0" fillId="0" borderId="7" xfId="0" applyNumberFormat="1" applyBorder="1"/>
    <xf numFmtId="165" fontId="0" fillId="0" borderId="0" xfId="0" applyNumberFormat="1"/>
    <xf numFmtId="169" fontId="0" fillId="0" borderId="2" xfId="0" applyNumberFormat="1" applyBorder="1"/>
    <xf numFmtId="169" fontId="0" fillId="0" borderId="0" xfId="0" applyNumberFormat="1" applyBorder="1"/>
    <xf numFmtId="169" fontId="0" fillId="0" borderId="7" xfId="0" applyNumberFormat="1" applyBorder="1"/>
    <xf numFmtId="169" fontId="0" fillId="0" borderId="4" xfId="0" applyNumberFormat="1" applyBorder="1"/>
    <xf numFmtId="165" fontId="1" fillId="0" borderId="0" xfId="0" applyNumberFormat="1" applyFont="1" applyBorder="1"/>
    <xf numFmtId="0" fontId="0" fillId="0" borderId="0" xfId="0" applyAlignment="1">
      <alignment vertical="center" wrapText="1"/>
    </xf>
    <xf numFmtId="0" fontId="0" fillId="0" borderId="0" xfId="0" applyAlignment="1">
      <alignment wrapText="1"/>
    </xf>
    <xf numFmtId="0" fontId="0" fillId="0" borderId="5" xfId="0" applyBorder="1" applyAlignment="1">
      <alignment vertical="center" wrapText="1"/>
    </xf>
    <xf numFmtId="0" fontId="0" fillId="0" borderId="1" xfId="0" applyBorder="1" applyAlignment="1">
      <alignment wrapText="1"/>
    </xf>
    <xf numFmtId="0" fontId="0" fillId="0" borderId="8" xfId="0" applyBorder="1" applyAlignment="1">
      <alignment wrapText="1"/>
    </xf>
    <xf numFmtId="0" fontId="0" fillId="3" borderId="3" xfId="0" applyFill="1" applyBorder="1" applyAlignment="1">
      <alignment horizontal="center" wrapText="1"/>
    </xf>
    <xf numFmtId="0" fontId="0" fillId="3" borderId="1" xfId="0" applyFill="1" applyBorder="1" applyAlignment="1">
      <alignment horizontal="center" wrapText="1"/>
    </xf>
    <xf numFmtId="0" fontId="0" fillId="3" borderId="8" xfId="0" applyFill="1" applyBorder="1" applyAlignment="1">
      <alignment horizontal="center" wrapText="1"/>
    </xf>
    <xf numFmtId="0" fontId="0" fillId="3" borderId="2" xfId="0" applyFill="1" applyBorder="1" applyAlignment="1">
      <alignment horizontal="center" wrapText="1"/>
    </xf>
    <xf numFmtId="0" fontId="0" fillId="3" borderId="0" xfId="0" applyFill="1" applyBorder="1" applyAlignment="1">
      <alignment horizontal="center" wrapText="1"/>
    </xf>
    <xf numFmtId="169" fontId="0" fillId="3" borderId="3" xfId="0" applyNumberFormat="1" applyFill="1" applyBorder="1" applyAlignment="1">
      <alignment horizontal="center" wrapText="1"/>
    </xf>
    <xf numFmtId="169" fontId="0" fillId="3" borderId="1" xfId="0" applyNumberFormat="1" applyFill="1" applyBorder="1" applyAlignment="1">
      <alignment horizontal="center" wrapText="1"/>
    </xf>
    <xf numFmtId="169" fontId="0" fillId="3" borderId="8" xfId="0" applyNumberFormat="1" applyFill="1" applyBorder="1" applyAlignment="1">
      <alignment wrapText="1"/>
    </xf>
    <xf numFmtId="0" fontId="0" fillId="2" borderId="10" xfId="0" applyFill="1" applyBorder="1" applyAlignment="1">
      <alignment horizontal="center"/>
    </xf>
    <xf numFmtId="0" fontId="0" fillId="2" borderId="11" xfId="0" applyFill="1" applyBorder="1" applyAlignment="1">
      <alignment horizontal="center"/>
    </xf>
    <xf numFmtId="0" fontId="0" fillId="2" borderId="9" xfId="0" applyFill="1" applyBorder="1" applyAlignment="1">
      <alignment horizontal="center"/>
    </xf>
    <xf numFmtId="0" fontId="0" fillId="3" borderId="8" xfId="0" applyFill="1" applyBorder="1" applyAlignment="1">
      <alignment wrapText="1"/>
    </xf>
    <xf numFmtId="0" fontId="0" fillId="0" borderId="0" xfId="0" applyFill="1" applyBorder="1" applyAlignment="1">
      <alignment horizontal="center" wrapText="1"/>
    </xf>
    <xf numFmtId="0" fontId="0" fillId="2" borderId="12" xfId="0" applyFill="1" applyBorder="1" applyAlignment="1">
      <alignment horizontal="center" wrapText="1"/>
    </xf>
    <xf numFmtId="0" fontId="0" fillId="2" borderId="13" xfId="0" applyFill="1" applyBorder="1" applyAlignment="1">
      <alignment horizontal="center" wrapText="1"/>
    </xf>
    <xf numFmtId="0" fontId="0" fillId="3" borderId="10" xfId="0" applyFill="1" applyBorder="1" applyAlignment="1">
      <alignment horizontal="center" wrapText="1"/>
    </xf>
    <xf numFmtId="0" fontId="0" fillId="3" borderId="11" xfId="0" applyFill="1" applyBorder="1" applyAlignment="1">
      <alignment horizontal="center" wrapText="1"/>
    </xf>
    <xf numFmtId="0" fontId="0" fillId="3" borderId="9" xfId="0" applyFill="1" applyBorder="1" applyAlignment="1">
      <alignment horizontal="center" wrapText="1"/>
    </xf>
    <xf numFmtId="0" fontId="0" fillId="0" borderId="3" xfId="0" applyBorder="1" applyAlignment="1">
      <alignment vertical="center" wrapText="1"/>
    </xf>
    <xf numFmtId="0" fontId="0" fillId="0" borderId="2" xfId="0" applyBorder="1" applyAlignment="1">
      <alignment wrapText="1"/>
    </xf>
    <xf numFmtId="0" fontId="0" fillId="0" borderId="7" xfId="0" applyBorder="1" applyAlignment="1">
      <alignment wrapText="1"/>
    </xf>
    <xf numFmtId="0" fontId="0" fillId="0" borderId="1" xfId="0" applyBorder="1" applyAlignment="1">
      <alignment vertical="center" wrapText="1"/>
    </xf>
    <xf numFmtId="0" fontId="0" fillId="0" borderId="8" xfId="0" applyBorder="1" applyAlignment="1">
      <alignment vertical="center" wrapText="1"/>
    </xf>
    <xf numFmtId="0" fontId="0" fillId="0" borderId="2" xfId="0" applyBorder="1" applyAlignment="1">
      <alignment vertical="center" wrapText="1"/>
    </xf>
    <xf numFmtId="0" fontId="0" fillId="0" borderId="7" xfId="0" applyBorder="1" applyAlignment="1">
      <alignment vertical="center" wrapText="1"/>
    </xf>
    <xf numFmtId="0" fontId="0" fillId="0" borderId="4" xfId="0" applyBorder="1" applyAlignment="1">
      <alignment vertical="center" wrapText="1"/>
    </xf>
    <xf numFmtId="0" fontId="0" fillId="0" borderId="6" xfId="0" applyBorder="1" applyAlignment="1">
      <alignment vertical="center" wrapText="1"/>
    </xf>
    <xf numFmtId="169" fontId="0" fillId="4" borderId="2" xfId="0" applyNumberFormat="1" applyFill="1" applyBorder="1"/>
    <xf numFmtId="169" fontId="0" fillId="4" borderId="0" xfId="0" applyNumberFormat="1" applyFill="1" applyBorder="1"/>
    <xf numFmtId="169" fontId="0" fillId="4" borderId="7" xfId="0" applyNumberFormat="1" applyFill="1" applyBorder="1"/>
    <xf numFmtId="169" fontId="0" fillId="4" borderId="4" xfId="0" applyNumberFormat="1" applyFill="1" applyBorder="1"/>
    <xf numFmtId="169" fontId="0" fillId="4" borderId="5" xfId="0" applyNumberFormat="1" applyFill="1" applyBorder="1"/>
    <xf numFmtId="169" fontId="0" fillId="4" borderId="6" xfId="0" applyNumberFormat="1"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2"/>
  <dimension ref="A1:W47"/>
  <sheetViews>
    <sheetView tabSelected="1" workbookViewId="0">
      <selection activeCell="G20" sqref="G20"/>
    </sheetView>
  </sheetViews>
  <sheetFormatPr defaultRowHeight="13.2"/>
  <cols>
    <col min="2" max="4" width="10.5546875" bestFit="1" customWidth="1"/>
    <col min="5" max="5" width="2.44140625" customWidth="1"/>
    <col min="6" max="8" width="10.5546875" bestFit="1" customWidth="1"/>
    <col min="9" max="11" width="9.6640625" bestFit="1" customWidth="1"/>
    <col min="12" max="12" width="10.109375" bestFit="1" customWidth="1"/>
    <col min="13" max="13" width="3.44140625" customWidth="1"/>
    <col min="14" max="16" width="9.33203125" customWidth="1"/>
    <col min="17" max="20" width="9.6640625" customWidth="1"/>
  </cols>
  <sheetData>
    <row r="1" spans="1:16" ht="114" customHeight="1">
      <c r="A1" s="28" t="s">
        <v>14</v>
      </c>
      <c r="B1" s="28"/>
      <c r="C1" s="28"/>
      <c r="D1" s="28"/>
      <c r="E1" s="28"/>
      <c r="F1" s="28"/>
      <c r="G1" s="28"/>
      <c r="H1" s="28"/>
      <c r="I1" s="28"/>
      <c r="J1" s="28"/>
      <c r="K1" s="29"/>
      <c r="L1" s="29"/>
    </row>
    <row r="2" spans="1:16" ht="13.8" thickBot="1"/>
    <row r="3" spans="1:16" ht="13.8" thickBot="1">
      <c r="A3" s="46" t="s">
        <v>3</v>
      </c>
      <c r="B3" s="41" t="s">
        <v>4</v>
      </c>
      <c r="C3" s="42"/>
      <c r="D3" s="43"/>
      <c r="E3" s="10"/>
      <c r="F3" s="41" t="s">
        <v>5</v>
      </c>
      <c r="G3" s="42"/>
      <c r="H3" s="43"/>
      <c r="N3" s="48" t="s">
        <v>7</v>
      </c>
      <c r="O3" s="49"/>
      <c r="P3" s="50"/>
    </row>
    <row r="4" spans="1:16" s="10" customFormat="1" ht="13.8" thickBot="1">
      <c r="A4" s="47"/>
      <c r="B4" s="12" t="s">
        <v>0</v>
      </c>
      <c r="C4" s="13" t="s">
        <v>1</v>
      </c>
      <c r="D4" s="14" t="s">
        <v>2</v>
      </c>
      <c r="F4" s="12" t="s">
        <v>0</v>
      </c>
      <c r="G4" s="13" t="s">
        <v>1</v>
      </c>
      <c r="H4" s="14" t="s">
        <v>2</v>
      </c>
      <c r="N4" s="12" t="s">
        <v>0</v>
      </c>
      <c r="O4" s="13" t="s">
        <v>1</v>
      </c>
      <c r="P4" s="14" t="s">
        <v>2</v>
      </c>
    </row>
    <row r="5" spans="1:16" ht="13.2" customHeight="1">
      <c r="A5" s="11">
        <v>1</v>
      </c>
      <c r="B5" s="2">
        <v>8193.398799999999</v>
      </c>
      <c r="C5" s="2">
        <v>1136.8238000000001</v>
      </c>
      <c r="D5" s="21">
        <v>2699.1752999999999</v>
      </c>
      <c r="E5" s="22"/>
      <c r="F5" s="3">
        <v>8192.3959999999988</v>
      </c>
      <c r="G5" s="2">
        <v>1136.2820000000002</v>
      </c>
      <c r="H5" s="21">
        <v>2698.5859999999998</v>
      </c>
      <c r="I5" s="51" t="s">
        <v>10</v>
      </c>
      <c r="J5" s="54"/>
      <c r="K5" s="54"/>
      <c r="L5" s="55"/>
      <c r="N5" s="3">
        <f t="shared" ref="N5:P7" si="0">I30-F5</f>
        <v>0.24972297038584657</v>
      </c>
      <c r="O5" s="2">
        <f t="shared" si="0"/>
        <v>9.7675547546259622E-2</v>
      </c>
      <c r="P5" s="21">
        <f t="shared" si="0"/>
        <v>5.7195394613245298E-2</v>
      </c>
    </row>
    <row r="6" spans="1:16">
      <c r="A6" s="11">
        <v>2</v>
      </c>
      <c r="B6" s="2">
        <v>8184.7431000000006</v>
      </c>
      <c r="C6" s="2">
        <v>1112.1619000000001</v>
      </c>
      <c r="D6" s="21">
        <v>2710.0897</v>
      </c>
      <c r="E6" s="22"/>
      <c r="F6" s="3">
        <v>8184.018</v>
      </c>
      <c r="G6" s="2">
        <v>1111.7330000000002</v>
      </c>
      <c r="H6" s="21">
        <v>2709.5920000000001</v>
      </c>
      <c r="I6" s="56"/>
      <c r="J6" s="28"/>
      <c r="K6" s="28"/>
      <c r="L6" s="57"/>
      <c r="N6" s="3">
        <f t="shared" si="0"/>
        <v>-1.110758791128319E-2</v>
      </c>
      <c r="O6" s="2">
        <f t="shared" si="0"/>
        <v>-3.4680285784816078E-2</v>
      </c>
      <c r="P6" s="21">
        <f t="shared" si="0"/>
        <v>-6.506157858257211E-2</v>
      </c>
    </row>
    <row r="7" spans="1:16" ht="13.8" thickBot="1">
      <c r="A7" s="11">
        <v>3</v>
      </c>
      <c r="B7" s="2">
        <v>8306.6877999999997</v>
      </c>
      <c r="C7" s="2">
        <v>1034.8582000000001</v>
      </c>
      <c r="D7" s="21">
        <v>2738.991</v>
      </c>
      <c r="E7" s="22"/>
      <c r="F7" s="3">
        <v>8305.8719999999994</v>
      </c>
      <c r="G7" s="2">
        <v>1034.7650000000001</v>
      </c>
      <c r="H7" s="21">
        <v>2738.4070000000002</v>
      </c>
      <c r="I7" s="58"/>
      <c r="J7" s="30"/>
      <c r="K7" s="30"/>
      <c r="L7" s="59"/>
      <c r="N7" s="3">
        <f t="shared" si="0"/>
        <v>0.13830533713007753</v>
      </c>
      <c r="O7" s="2">
        <f t="shared" si="0"/>
        <v>-0.25012658018818001</v>
      </c>
      <c r="P7" s="21">
        <f t="shared" si="0"/>
        <v>9.4753109881366981E-2</v>
      </c>
    </row>
    <row r="8" spans="1:16" ht="13.2" customHeight="1">
      <c r="A8" s="11">
        <v>4</v>
      </c>
      <c r="B8" s="2">
        <v>8354.6937999999991</v>
      </c>
      <c r="C8" s="2">
        <v>958.28899999999999</v>
      </c>
      <c r="D8" s="21">
        <v>2768.5843</v>
      </c>
      <c r="E8" s="22"/>
      <c r="F8" s="3">
        <v>8354.119999999999</v>
      </c>
      <c r="G8" s="2">
        <v>958.05799999999999</v>
      </c>
      <c r="H8" s="21">
        <v>2768.1619999999998</v>
      </c>
      <c r="I8" s="51" t="s">
        <v>11</v>
      </c>
      <c r="J8" s="31"/>
      <c r="K8" s="31"/>
      <c r="L8" s="32"/>
      <c r="N8" s="3">
        <f>IF(NOT(ISBLANK(B8)),I33-F8,"")</f>
        <v>-4.6540082970750518E-2</v>
      </c>
      <c r="O8" s="2">
        <f>IF(NOT(ISBLANK(B8)),J33-G8,"")</f>
        <v>-8.032402256367277E-2</v>
      </c>
      <c r="P8" s="21">
        <f>IF(NOT(ISBLANK(B8)),K33-H8,"")</f>
        <v>-7.6933873731832136E-2</v>
      </c>
    </row>
    <row r="9" spans="1:16">
      <c r="A9" s="11">
        <v>5</v>
      </c>
      <c r="B9" s="2">
        <v>8461.5902999999998</v>
      </c>
      <c r="C9" s="2">
        <v>885.34889999999996</v>
      </c>
      <c r="D9" s="21">
        <v>2797.8497000000002</v>
      </c>
      <c r="E9" s="22"/>
      <c r="F9" s="3">
        <v>8461.3389999999999</v>
      </c>
      <c r="G9" s="2">
        <v>885.16</v>
      </c>
      <c r="H9" s="21">
        <v>2797.337</v>
      </c>
      <c r="I9" s="52"/>
      <c r="J9" s="29"/>
      <c r="K9" s="29"/>
      <c r="L9" s="53"/>
      <c r="N9" s="3">
        <f t="shared" ref="N9:N16" si="1">IF(NOT(ISBLANK(B9)),I34-F9,"")</f>
        <v>-0.31589863116278138</v>
      </c>
      <c r="O9" s="2">
        <f t="shared" ref="O9:O16" si="2">IF(NOT(ISBLANK(B9)),J34-G9,"")</f>
        <v>-2.0324477201143054E-2</v>
      </c>
      <c r="P9" s="21">
        <f t="shared" ref="P9:P16" si="3">IF(NOT(ISBLANK(B9)),K34-H9,"")</f>
        <v>7.3540044349101663E-2</v>
      </c>
    </row>
    <row r="10" spans="1:16">
      <c r="A10" s="11">
        <v>6</v>
      </c>
      <c r="B10" s="2">
        <v>8600.6169999999984</v>
      </c>
      <c r="C10" s="2">
        <v>770.36009999999999</v>
      </c>
      <c r="D10" s="21">
        <v>2847.7037999999998</v>
      </c>
      <c r="E10" s="22"/>
      <c r="F10" s="3">
        <v>8600.1009999999987</v>
      </c>
      <c r="G10" s="2">
        <v>770.21399999999994</v>
      </c>
      <c r="H10" s="21">
        <v>2847.25</v>
      </c>
      <c r="I10" s="52"/>
      <c r="J10" s="29"/>
      <c r="K10" s="29"/>
      <c r="L10" s="53"/>
      <c r="N10" s="3">
        <f t="shared" si="1"/>
        <v>2.8391833444402437E-2</v>
      </c>
      <c r="O10" s="2">
        <f t="shared" si="2"/>
        <v>5.9723909573222045E-2</v>
      </c>
      <c r="P10" s="21">
        <f t="shared" si="3"/>
        <v>7.5786595922636479E-2</v>
      </c>
    </row>
    <row r="11" spans="1:16">
      <c r="A11" s="11">
        <v>7</v>
      </c>
      <c r="B11" s="2">
        <v>8707.098899999999</v>
      </c>
      <c r="C11" s="2">
        <v>644.72119999999995</v>
      </c>
      <c r="D11" s="21">
        <v>2902.3416000000002</v>
      </c>
      <c r="E11" s="22"/>
      <c r="F11" s="3">
        <v>8706.741</v>
      </c>
      <c r="G11" s="2">
        <v>644.48699999999997</v>
      </c>
      <c r="H11" s="21">
        <v>2902.1379999999999</v>
      </c>
      <c r="I11" s="52"/>
      <c r="J11" s="29"/>
      <c r="K11" s="29"/>
      <c r="L11" s="53"/>
      <c r="N11" s="3">
        <f t="shared" si="1"/>
        <v>-4.2873838898231043E-2</v>
      </c>
      <c r="O11" s="2">
        <f t="shared" si="2"/>
        <v>0.22805590861969449</v>
      </c>
      <c r="P11" s="21">
        <f t="shared" si="3"/>
        <v>-0.15927969245149143</v>
      </c>
    </row>
    <row r="12" spans="1:16">
      <c r="A12" s="11"/>
      <c r="B12" s="6"/>
      <c r="C12" s="6"/>
      <c r="D12" s="7"/>
      <c r="F12" s="5"/>
      <c r="G12" s="6"/>
      <c r="H12" s="7"/>
      <c r="I12" s="52"/>
      <c r="J12" s="29"/>
      <c r="K12" s="29"/>
      <c r="L12" s="53"/>
      <c r="N12" s="5" t="str">
        <f t="shared" si="1"/>
        <v/>
      </c>
      <c r="O12" s="6" t="str">
        <f t="shared" si="2"/>
        <v/>
      </c>
      <c r="P12" s="7" t="str">
        <f t="shared" si="3"/>
        <v/>
      </c>
    </row>
    <row r="13" spans="1:16">
      <c r="A13" s="11"/>
      <c r="B13" s="6"/>
      <c r="C13" s="6"/>
      <c r="D13" s="7"/>
      <c r="F13" s="5"/>
      <c r="G13" s="6"/>
      <c r="H13" s="7"/>
      <c r="I13" s="52"/>
      <c r="J13" s="29"/>
      <c r="K13" s="29"/>
      <c r="L13" s="53"/>
      <c r="N13" s="5" t="str">
        <f t="shared" si="1"/>
        <v/>
      </c>
      <c r="O13" s="6" t="str">
        <f t="shared" si="2"/>
        <v/>
      </c>
      <c r="P13" s="7" t="str">
        <f t="shared" si="3"/>
        <v/>
      </c>
    </row>
    <row r="14" spans="1:16">
      <c r="A14" s="11"/>
      <c r="B14" s="6"/>
      <c r="C14" s="6"/>
      <c r="D14" s="7"/>
      <c r="F14" s="5"/>
      <c r="G14" s="6"/>
      <c r="H14" s="7"/>
      <c r="I14" s="52"/>
      <c r="J14" s="29"/>
      <c r="K14" s="29"/>
      <c r="L14" s="53"/>
      <c r="N14" s="5" t="str">
        <f t="shared" si="1"/>
        <v/>
      </c>
      <c r="O14" s="6" t="str">
        <f t="shared" si="2"/>
        <v/>
      </c>
      <c r="P14" s="7" t="str">
        <f t="shared" si="3"/>
        <v/>
      </c>
    </row>
    <row r="15" spans="1:16">
      <c r="A15" s="11"/>
      <c r="B15" s="6"/>
      <c r="C15" s="6"/>
      <c r="D15" s="7"/>
      <c r="F15" s="5"/>
      <c r="G15" s="6"/>
      <c r="H15" s="7"/>
      <c r="I15" s="52"/>
      <c r="J15" s="29"/>
      <c r="K15" s="29"/>
      <c r="L15" s="53"/>
      <c r="N15" s="5" t="str">
        <f t="shared" si="1"/>
        <v/>
      </c>
      <c r="O15" s="6" t="str">
        <f t="shared" si="2"/>
        <v/>
      </c>
      <c r="P15" s="7" t="str">
        <f t="shared" si="3"/>
        <v/>
      </c>
    </row>
    <row r="16" spans="1:16" ht="13.8" thickBot="1">
      <c r="B16" s="6"/>
      <c r="C16" s="6"/>
      <c r="D16" s="6"/>
      <c r="E16" s="1"/>
      <c r="F16" s="6"/>
      <c r="G16" s="6"/>
      <c r="H16" s="6"/>
      <c r="N16" s="9" t="str">
        <f t="shared" si="1"/>
        <v/>
      </c>
      <c r="O16" s="9" t="str">
        <f t="shared" si="2"/>
        <v/>
      </c>
      <c r="P16" s="9" t="str">
        <f t="shared" si="3"/>
        <v/>
      </c>
    </row>
    <row r="17" spans="2:23">
      <c r="B17" s="6"/>
      <c r="C17" s="6"/>
      <c r="D17" s="6"/>
      <c r="F17" s="6"/>
      <c r="G17" s="6"/>
      <c r="H17" s="7"/>
      <c r="I17" s="33" t="s">
        <v>12</v>
      </c>
      <c r="J17" s="34"/>
      <c r="K17" s="34"/>
      <c r="L17" s="44"/>
      <c r="N17" s="36" t="s">
        <v>8</v>
      </c>
      <c r="O17" s="37"/>
      <c r="P17" s="37"/>
      <c r="Q17" s="34"/>
      <c r="R17" s="34"/>
      <c r="S17" s="34"/>
      <c r="T17" s="35"/>
      <c r="U17" s="4"/>
      <c r="V17" s="4"/>
      <c r="W17" s="4"/>
    </row>
    <row r="18" spans="2:23" ht="13.8" thickBot="1">
      <c r="B18" s="6"/>
      <c r="C18" s="6"/>
      <c r="D18" s="6"/>
      <c r="F18" s="6"/>
      <c r="G18" s="6"/>
      <c r="H18" s="7"/>
      <c r="I18" s="60">
        <f t="array" ref="I18:L21">[0]!FindMap.FindMap(B5:D16,F5:H16)</f>
        <v>0.99999864992324095</v>
      </c>
      <c r="J18" s="61">
        <v>-1.1866155596523455E-3</v>
      </c>
      <c r="K18" s="61">
        <v>-1.1367036601158387E-3</v>
      </c>
      <c r="L18" s="62">
        <v>3.6751199401514896</v>
      </c>
      <c r="N18" s="8">
        <f>L18</f>
        <v>3.6751199401514896</v>
      </c>
      <c r="O18" s="9">
        <f>L19</f>
        <v>-7.8775034786496008</v>
      </c>
      <c r="P18" s="9">
        <f>L20</f>
        <v>-10.809797216948027</v>
      </c>
      <c r="Q18" s="15">
        <f t="array" ref="Q18:T18">MatrixToQuaternion(I18:L21)</f>
        <v>0.99999957343533741</v>
      </c>
      <c r="R18" s="15">
        <v>4.2200801338337381E-4</v>
      </c>
      <c r="S18" s="15">
        <v>-5.6860235207945779E-4</v>
      </c>
      <c r="T18" s="16">
        <v>5.9306807806335882E-4</v>
      </c>
      <c r="U18" s="4"/>
      <c r="V18" s="4"/>
      <c r="W18" s="4"/>
    </row>
    <row r="19" spans="2:23" ht="13.95" customHeight="1">
      <c r="B19" s="6"/>
      <c r="C19" s="6"/>
      <c r="D19" s="6"/>
      <c r="F19" s="6"/>
      <c r="G19" s="6"/>
      <c r="H19" s="7"/>
      <c r="I19" s="60">
        <v>1.1856557406564835E-3</v>
      </c>
      <c r="J19" s="61">
        <v>0.99999894035898362</v>
      </c>
      <c r="K19" s="61">
        <v>-8.4469010641332503E-4</v>
      </c>
      <c r="L19" s="62">
        <v>-7.8775034786496008</v>
      </c>
      <c r="Q19" s="18"/>
      <c r="R19" s="18"/>
      <c r="S19" s="18"/>
      <c r="T19" s="18"/>
      <c r="U19" s="4"/>
      <c r="V19" s="4"/>
      <c r="W19" s="4"/>
    </row>
    <row r="20" spans="2:23" ht="13.2" customHeight="1">
      <c r="B20" s="6"/>
      <c r="C20" s="6"/>
      <c r="D20" s="6"/>
      <c r="F20" s="6"/>
      <c r="G20" s="6"/>
      <c r="H20" s="7"/>
      <c r="I20" s="60">
        <v>1.1377047780412163E-3</v>
      </c>
      <c r="J20" s="61">
        <v>8.4334122679674485E-4</v>
      </c>
      <c r="K20" s="61">
        <v>0.99999899720120444</v>
      </c>
      <c r="L20" s="62">
        <v>-10.809797216948027</v>
      </c>
      <c r="N20" s="4"/>
      <c r="O20" s="4"/>
      <c r="Q20" s="4"/>
      <c r="R20" s="4"/>
      <c r="S20" s="4"/>
      <c r="T20" s="4"/>
      <c r="U20" s="4"/>
      <c r="V20" s="4"/>
      <c r="W20" s="4"/>
    </row>
    <row r="21" spans="2:23" ht="13.8" thickBot="1">
      <c r="B21" s="6"/>
      <c r="C21" s="6"/>
      <c r="D21" s="6"/>
      <c r="F21" s="6"/>
      <c r="G21" s="6"/>
      <c r="H21" s="7"/>
      <c r="I21" s="63">
        <v>0</v>
      </c>
      <c r="J21" s="64">
        <v>0</v>
      </c>
      <c r="K21" s="64">
        <v>0</v>
      </c>
      <c r="L21" s="65">
        <v>1</v>
      </c>
      <c r="N21" s="4"/>
      <c r="O21" s="4"/>
      <c r="Q21" s="4"/>
      <c r="R21" s="4"/>
      <c r="S21" s="4"/>
      <c r="T21" s="4"/>
      <c r="U21" s="4"/>
      <c r="V21" s="4"/>
      <c r="W21" s="4"/>
    </row>
    <row r="22" spans="2:23" ht="13.8" thickBot="1">
      <c r="B22" s="6"/>
      <c r="C22" s="6"/>
      <c r="D22" s="6"/>
      <c r="E22" s="1"/>
      <c r="F22" s="6"/>
      <c r="G22" s="6"/>
      <c r="H22" s="6"/>
      <c r="I22" s="24"/>
      <c r="J22" s="24"/>
      <c r="K22" s="24"/>
      <c r="L22" s="24"/>
      <c r="N22" s="19"/>
      <c r="O22" s="20"/>
      <c r="Q22" s="4"/>
      <c r="R22" s="4"/>
      <c r="S22" s="4"/>
      <c r="T22" s="4"/>
      <c r="U22" s="4"/>
      <c r="V22" s="4"/>
      <c r="W22" s="4"/>
    </row>
    <row r="23" spans="2:23">
      <c r="B23" s="6"/>
      <c r="C23" s="6"/>
      <c r="D23" s="6"/>
      <c r="F23" s="6"/>
      <c r="G23" s="6"/>
      <c r="H23" s="7"/>
      <c r="I23" s="38" t="s">
        <v>13</v>
      </c>
      <c r="J23" s="39"/>
      <c r="K23" s="39"/>
      <c r="L23" s="40"/>
      <c r="N23" s="33" t="s">
        <v>9</v>
      </c>
      <c r="O23" s="34"/>
      <c r="P23" s="34"/>
      <c r="Q23" s="34"/>
      <c r="R23" s="34"/>
      <c r="S23" s="34"/>
      <c r="T23" s="35"/>
      <c r="U23" s="4"/>
      <c r="V23" s="4"/>
      <c r="W23" s="4"/>
    </row>
    <row r="24" spans="2:23" ht="13.8" thickBot="1">
      <c r="B24" s="6"/>
      <c r="C24" s="6"/>
      <c r="D24" s="6"/>
      <c r="F24" s="6"/>
      <c r="G24" s="6"/>
      <c r="H24" s="7"/>
      <c r="I24" s="23">
        <f t="array" ref="I24:L27">MINVERSE(I18:L21)</f>
        <v>0.99999864992323906</v>
      </c>
      <c r="J24" s="24">
        <v>1.1856557406564622E-3</v>
      </c>
      <c r="K24" s="24">
        <v>1.1377047780413688E-3</v>
      </c>
      <c r="L24" s="25">
        <v>-3.6534766132925824</v>
      </c>
      <c r="N24" s="8">
        <f>L24</f>
        <v>-3.6534766132925824</v>
      </c>
      <c r="O24" s="9">
        <f>L25</f>
        <v>7.8909724334747358</v>
      </c>
      <c r="P24" s="9">
        <f>L26</f>
        <v>10.807309849932066</v>
      </c>
      <c r="Q24" s="15">
        <f t="array" ref="Q24:T24">MatrixToQuaternion(I24:L27)</f>
        <v>0.99999957343533741</v>
      </c>
      <c r="R24" s="15">
        <v>-4.2200801330609389E-4</v>
      </c>
      <c r="S24" s="15">
        <v>5.6860235209999107E-4</v>
      </c>
      <c r="T24" s="16">
        <v>-5.9306807805186313E-4</v>
      </c>
      <c r="U24" s="4"/>
      <c r="V24" s="4"/>
      <c r="W24" s="4"/>
    </row>
    <row r="25" spans="2:23">
      <c r="B25" s="6"/>
      <c r="C25" s="6"/>
      <c r="D25" s="6"/>
      <c r="F25" s="6"/>
      <c r="G25" s="6"/>
      <c r="H25" s="7"/>
      <c r="I25" s="23">
        <v>-1.1866155596523629E-3</v>
      </c>
      <c r="J25" s="24">
        <v>0.99999894035898229</v>
      </c>
      <c r="K25" s="24">
        <v>8.4334122679680025E-4</v>
      </c>
      <c r="L25" s="25">
        <v>7.8909724334747358</v>
      </c>
      <c r="U25" s="4"/>
      <c r="V25" s="4"/>
      <c r="W25" s="4"/>
    </row>
    <row r="26" spans="2:23">
      <c r="B26" s="6"/>
      <c r="C26" s="6"/>
      <c r="D26" s="6"/>
      <c r="F26" s="6"/>
      <c r="G26" s="6"/>
      <c r="H26" s="7"/>
      <c r="I26" s="23">
        <v>-1.1367036601156826E-3</v>
      </c>
      <c r="J26" s="24">
        <v>-8.4469010641326713E-4</v>
      </c>
      <c r="K26" s="24">
        <v>0.99999899720120311</v>
      </c>
      <c r="L26" s="25">
        <v>10.807309849932066</v>
      </c>
      <c r="U26" s="4"/>
      <c r="V26" s="4"/>
      <c r="W26" s="4"/>
    </row>
    <row r="27" spans="2:23" ht="13.8" thickBot="1">
      <c r="B27" s="6"/>
      <c r="C27" s="6"/>
      <c r="D27" s="6"/>
      <c r="F27" s="6"/>
      <c r="G27" s="6"/>
      <c r="H27" s="7"/>
      <c r="I27" s="26">
        <v>0</v>
      </c>
      <c r="J27" s="15">
        <v>0</v>
      </c>
      <c r="K27" s="15">
        <v>0</v>
      </c>
      <c r="L27" s="16">
        <v>1</v>
      </c>
      <c r="N27" s="1"/>
      <c r="O27" s="1"/>
      <c r="P27" s="1"/>
      <c r="Q27" s="1"/>
      <c r="R27" s="1"/>
      <c r="S27" s="1"/>
      <c r="T27" s="1"/>
      <c r="U27" s="4"/>
      <c r="V27" s="4"/>
      <c r="W27" s="4"/>
    </row>
    <row r="28" spans="2:23" ht="13.8" thickBot="1">
      <c r="B28" s="6"/>
      <c r="C28" s="6"/>
      <c r="D28" s="6"/>
      <c r="E28" s="1"/>
      <c r="F28" s="6"/>
      <c r="G28" s="6"/>
      <c r="H28" s="6"/>
      <c r="N28" s="1"/>
      <c r="O28" s="1"/>
      <c r="P28" s="1"/>
      <c r="Q28" s="17"/>
      <c r="R28" s="17"/>
      <c r="S28" s="17"/>
      <c r="T28" s="4"/>
      <c r="U28" s="4"/>
      <c r="V28" s="4"/>
      <c r="W28" s="4"/>
    </row>
    <row r="29" spans="2:23">
      <c r="B29" s="6"/>
      <c r="C29" s="6"/>
      <c r="D29" s="6"/>
      <c r="F29" s="6"/>
      <c r="G29" s="6"/>
      <c r="H29" s="7"/>
      <c r="I29" s="33" t="s">
        <v>6</v>
      </c>
      <c r="J29" s="34"/>
      <c r="K29" s="35"/>
      <c r="M29" s="17"/>
      <c r="N29" s="17"/>
      <c r="O29" s="17"/>
      <c r="P29" s="1"/>
      <c r="Q29" s="17"/>
      <c r="R29" s="17"/>
      <c r="S29" s="17"/>
      <c r="T29" s="4"/>
      <c r="U29" s="45"/>
      <c r="V29" s="45"/>
      <c r="W29" s="45"/>
    </row>
    <row r="30" spans="2:23">
      <c r="B30" s="6"/>
      <c r="C30" s="6"/>
      <c r="D30" s="6"/>
      <c r="F30" s="6"/>
      <c r="G30" s="6"/>
      <c r="H30" s="7"/>
      <c r="I30" s="3">
        <f>$I$18*B5+$J$18*C5+$K$18*D5+$L$18</f>
        <v>8192.6457229703847</v>
      </c>
      <c r="J30" s="2">
        <f>$I$19*B5+$J$19*C5+$K$19*D5+$L$19</f>
        <v>1136.3796755475464</v>
      </c>
      <c r="K30" s="21">
        <f>$I$20*B5+$J$20*C5+$K$20*D5+$L$20</f>
        <v>2698.643195394613</v>
      </c>
      <c r="M30" s="17"/>
      <c r="N30" s="2"/>
      <c r="O30" s="2"/>
      <c r="P30" s="2"/>
      <c r="Q30" s="27"/>
      <c r="R30" s="2"/>
      <c r="S30" s="2"/>
      <c r="T30" s="2"/>
      <c r="U30" s="17"/>
      <c r="V30" s="17"/>
      <c r="W30" s="17"/>
    </row>
    <row r="31" spans="2:23">
      <c r="B31" s="6"/>
      <c r="C31" s="6"/>
      <c r="D31" s="6"/>
      <c r="F31" s="6"/>
      <c r="G31" s="6"/>
      <c r="H31" s="7"/>
      <c r="I31" s="3">
        <f>$I$18*B6+$J$18*C6+$K$18*D6+$L$18</f>
        <v>8184.0068924120887</v>
      </c>
      <c r="J31" s="2">
        <f>$I$19*B6+$J$19*C6+$K$19*D6+$L$19</f>
        <v>1111.6983197142154</v>
      </c>
      <c r="K31" s="21">
        <f>$I$20*B6+$J$20*C6+$K$20*D6+$L$20</f>
        <v>2709.5269384214175</v>
      </c>
      <c r="M31" s="17"/>
      <c r="N31" s="2"/>
      <c r="O31" s="2"/>
      <c r="P31" s="2"/>
      <c r="Q31" s="2"/>
      <c r="R31" s="2"/>
      <c r="S31" s="2"/>
      <c r="T31" s="2"/>
      <c r="U31" s="17"/>
      <c r="V31" s="17"/>
      <c r="W31" s="17"/>
    </row>
    <row r="32" spans="2:23">
      <c r="B32" s="6"/>
      <c r="C32" s="6"/>
      <c r="D32" s="6"/>
      <c r="F32" s="6"/>
      <c r="G32" s="6"/>
      <c r="H32" s="7"/>
      <c r="I32" s="3">
        <f>$I$18*B7+$J$18*C7+$K$18*D7+$L$18</f>
        <v>8306.0103053371295</v>
      </c>
      <c r="J32" s="2">
        <f>$I$19*B7+$J$19*C7+$K$19*D7+$L$19</f>
        <v>1034.5148734198119</v>
      </c>
      <c r="K32" s="21">
        <f>$I$20*B7+$J$20*C7+$K$20*D7+$L$20</f>
        <v>2738.5017531098815</v>
      </c>
      <c r="M32" s="17"/>
      <c r="N32" s="2"/>
      <c r="O32" s="2"/>
      <c r="P32" s="2"/>
      <c r="Q32" s="2"/>
      <c r="R32" s="2"/>
      <c r="S32" s="2"/>
      <c r="T32" s="2"/>
      <c r="U32" s="17"/>
      <c r="V32" s="17"/>
      <c r="W32" s="17"/>
    </row>
    <row r="33" spans="2:23">
      <c r="B33" s="6"/>
      <c r="C33" s="6"/>
      <c r="D33" s="6"/>
      <c r="F33" s="6"/>
      <c r="G33" s="6"/>
      <c r="H33" s="7"/>
      <c r="I33" s="3">
        <f>IF(NOT(ISBLANK(B8)),$I$18*B8+$J$18*C8+$K$18*D8+$L$18,"")</f>
        <v>8354.0734599170282</v>
      </c>
      <c r="J33" s="2">
        <f>IF(NOT(ISBLANK(B8)),$I$19*B8+$J$19*C8+$K$19*D8+$L$19,"")</f>
        <v>957.97767597743632</v>
      </c>
      <c r="K33" s="21">
        <f>IF(NOT(ISBLANK(B8)),$I$20*B8+$J$20*C8+$K$20*D8+$L$20,"")</f>
        <v>2768.085066126268</v>
      </c>
      <c r="M33" s="17"/>
      <c r="N33" s="2"/>
      <c r="O33" s="2"/>
      <c r="P33" s="2"/>
      <c r="Q33" s="2"/>
      <c r="R33" s="2"/>
      <c r="S33" s="2"/>
      <c r="T33" s="2"/>
      <c r="U33" s="17"/>
      <c r="V33" s="17"/>
      <c r="W33" s="17"/>
    </row>
    <row r="34" spans="2:23">
      <c r="B34" s="6"/>
      <c r="C34" s="6"/>
      <c r="D34" s="6"/>
      <c r="F34" s="6"/>
      <c r="G34" s="6"/>
      <c r="H34" s="7"/>
      <c r="I34" s="3">
        <f t="shared" ref="I34:I44" si="4">IF(NOT(ISBLANK(B9)),$I$18*B9+$J$18*C9+$K$18*D9+$L$18,"")</f>
        <v>8461.0231013688372</v>
      </c>
      <c r="J34" s="2">
        <f t="shared" ref="J34:J44" si="5">IF(NOT(ISBLANK(B9)),$I$19*B9+$J$19*C9+$K$19*D9+$L$19,"")</f>
        <v>885.13967552279883</v>
      </c>
      <c r="K34" s="21">
        <f t="shared" ref="K34:K44" si="6">IF(NOT(ISBLANK(B9)),$I$20*B9+$J$20*C9+$K$20*D9+$L$20,"")</f>
        <v>2797.4105400443491</v>
      </c>
      <c r="M34" s="17"/>
      <c r="N34" s="2"/>
      <c r="O34" s="2"/>
      <c r="P34" s="2"/>
      <c r="Q34" s="2"/>
      <c r="R34" s="2"/>
      <c r="S34" s="2"/>
      <c r="T34" s="2"/>
      <c r="U34" s="17"/>
      <c r="V34" s="17"/>
      <c r="W34" s="17"/>
    </row>
    <row r="35" spans="2:23">
      <c r="B35" s="6"/>
      <c r="C35" s="6"/>
      <c r="D35" s="6"/>
      <c r="F35" s="6"/>
      <c r="G35" s="6"/>
      <c r="H35" s="7"/>
      <c r="I35" s="3">
        <f t="shared" si="4"/>
        <v>8600.1293918334432</v>
      </c>
      <c r="J35" s="2">
        <f t="shared" si="5"/>
        <v>770.27372390957316</v>
      </c>
      <c r="K35" s="21">
        <f t="shared" si="6"/>
        <v>2847.3257865959226</v>
      </c>
      <c r="M35" s="17"/>
      <c r="N35" s="2"/>
      <c r="O35" s="2"/>
      <c r="P35" s="2"/>
      <c r="Q35" s="2"/>
      <c r="R35" s="2"/>
      <c r="S35" s="2"/>
      <c r="T35" s="2"/>
      <c r="U35" s="17"/>
      <c r="V35" s="17"/>
      <c r="W35" s="17"/>
    </row>
    <row r="36" spans="2:23">
      <c r="B36" s="6"/>
      <c r="C36" s="6"/>
      <c r="D36" s="6"/>
      <c r="F36" s="6"/>
      <c r="G36" s="6"/>
      <c r="H36" s="7"/>
      <c r="I36" s="3">
        <f t="shared" si="4"/>
        <v>8706.6981261611018</v>
      </c>
      <c r="J36" s="2">
        <f t="shared" si="5"/>
        <v>644.71505590861966</v>
      </c>
      <c r="K36" s="21">
        <f t="shared" si="6"/>
        <v>2901.9787203075484</v>
      </c>
      <c r="M36" s="17"/>
      <c r="N36" s="2"/>
      <c r="O36" s="2"/>
      <c r="P36" s="2"/>
      <c r="Q36" s="2"/>
      <c r="R36" s="2"/>
      <c r="S36" s="2"/>
      <c r="T36" s="2"/>
      <c r="U36" s="17"/>
      <c r="V36" s="17"/>
      <c r="W36" s="17"/>
    </row>
    <row r="37" spans="2:23">
      <c r="B37" s="6"/>
      <c r="C37" s="6"/>
      <c r="D37" s="6"/>
      <c r="F37" s="6"/>
      <c r="G37" s="6"/>
      <c r="H37" s="7"/>
      <c r="I37" s="5" t="str">
        <f t="shared" si="4"/>
        <v/>
      </c>
      <c r="J37" s="6" t="str">
        <f t="shared" si="5"/>
        <v/>
      </c>
      <c r="K37" s="7" t="str">
        <f t="shared" si="6"/>
        <v/>
      </c>
      <c r="M37" s="4"/>
      <c r="N37" s="4"/>
      <c r="O37" s="4"/>
      <c r="P37" s="1"/>
      <c r="Q37" s="4"/>
      <c r="R37" s="4"/>
      <c r="S37" s="4"/>
      <c r="T37" s="4"/>
      <c r="U37" s="17"/>
      <c r="V37" s="17"/>
      <c r="W37" s="17"/>
    </row>
    <row r="38" spans="2:23">
      <c r="B38" s="6"/>
      <c r="C38" s="6"/>
      <c r="D38" s="6"/>
      <c r="F38" s="6"/>
      <c r="G38" s="6"/>
      <c r="H38" s="7"/>
      <c r="I38" s="5" t="str">
        <f t="shared" si="4"/>
        <v/>
      </c>
      <c r="J38" s="6" t="str">
        <f t="shared" si="5"/>
        <v/>
      </c>
      <c r="K38" s="7" t="str">
        <f t="shared" si="6"/>
        <v/>
      </c>
      <c r="M38" s="17"/>
      <c r="N38" s="17"/>
      <c r="O38" s="1"/>
      <c r="P38" s="4"/>
      <c r="Q38" s="4"/>
      <c r="R38" s="4"/>
      <c r="S38" s="4"/>
      <c r="T38" s="17"/>
      <c r="U38" s="17"/>
      <c r="V38" s="17"/>
      <c r="W38" s="17"/>
    </row>
    <row r="39" spans="2:23">
      <c r="B39" s="6"/>
      <c r="C39" s="6"/>
      <c r="D39" s="6"/>
      <c r="F39" s="6"/>
      <c r="G39" s="6"/>
      <c r="H39" s="7"/>
      <c r="I39" s="5" t="str">
        <f t="shared" si="4"/>
        <v/>
      </c>
      <c r="J39" s="6" t="str">
        <f t="shared" si="5"/>
        <v/>
      </c>
      <c r="K39" s="7" t="str">
        <f t="shared" si="6"/>
        <v/>
      </c>
      <c r="M39" s="17"/>
      <c r="N39" s="4"/>
      <c r="P39" s="4"/>
      <c r="Q39" s="4"/>
      <c r="R39" s="4"/>
      <c r="S39" s="4"/>
      <c r="T39" s="17"/>
      <c r="U39" s="4"/>
      <c r="V39" s="4"/>
      <c r="W39" s="4"/>
    </row>
    <row r="40" spans="2:23">
      <c r="B40" s="6"/>
      <c r="C40" s="6"/>
      <c r="D40" s="6"/>
      <c r="F40" s="6"/>
      <c r="G40" s="6"/>
      <c r="H40" s="7"/>
      <c r="I40" s="5" t="str">
        <f t="shared" si="4"/>
        <v/>
      </c>
      <c r="J40" s="6" t="str">
        <f t="shared" si="5"/>
        <v/>
      </c>
      <c r="K40" s="7" t="str">
        <f t="shared" si="6"/>
        <v/>
      </c>
      <c r="M40" s="17"/>
      <c r="N40" s="17"/>
      <c r="P40" s="17"/>
      <c r="Q40" s="17"/>
      <c r="R40" s="17"/>
      <c r="S40" s="4"/>
      <c r="T40" s="17"/>
      <c r="U40" s="17"/>
      <c r="V40" s="4"/>
      <c r="W40" s="4"/>
    </row>
    <row r="41" spans="2:23">
      <c r="B41" s="6"/>
      <c r="C41" s="6"/>
      <c r="D41" s="6"/>
      <c r="F41" s="6"/>
      <c r="G41" s="6"/>
      <c r="H41" s="7"/>
      <c r="I41" s="5" t="str">
        <f t="shared" si="4"/>
        <v/>
      </c>
      <c r="J41" s="6" t="str">
        <f t="shared" si="5"/>
        <v/>
      </c>
      <c r="K41" s="7" t="str">
        <f t="shared" si="6"/>
        <v/>
      </c>
      <c r="M41" s="17"/>
      <c r="N41" s="17"/>
      <c r="P41" s="4"/>
      <c r="Q41" s="4"/>
      <c r="R41" s="4"/>
      <c r="S41" s="4"/>
      <c r="T41" s="4"/>
    </row>
    <row r="42" spans="2:23">
      <c r="I42" s="5" t="str">
        <f t="shared" si="4"/>
        <v/>
      </c>
      <c r="J42" s="6" t="str">
        <f t="shared" si="5"/>
        <v/>
      </c>
      <c r="K42" s="7" t="str">
        <f t="shared" si="6"/>
        <v/>
      </c>
      <c r="M42" s="17"/>
      <c r="N42" s="17"/>
      <c r="P42" s="4"/>
      <c r="Q42" s="4"/>
      <c r="R42" s="4"/>
      <c r="S42" s="4"/>
      <c r="T42" s="17"/>
    </row>
    <row r="43" spans="2:23">
      <c r="I43" s="5" t="str">
        <f t="shared" si="4"/>
        <v/>
      </c>
      <c r="J43" s="6" t="str">
        <f t="shared" si="5"/>
        <v/>
      </c>
      <c r="K43" s="7" t="str">
        <f t="shared" si="6"/>
        <v/>
      </c>
      <c r="M43" s="17"/>
      <c r="N43" s="17"/>
    </row>
    <row r="44" spans="2:23">
      <c r="I44" s="5" t="str">
        <f t="shared" si="4"/>
        <v/>
      </c>
      <c r="J44" s="6" t="str">
        <f t="shared" si="5"/>
        <v/>
      </c>
      <c r="K44" s="7" t="str">
        <f t="shared" si="6"/>
        <v/>
      </c>
      <c r="M44" s="17"/>
      <c r="N44" s="17"/>
    </row>
    <row r="45" spans="2:23" ht="13.2" customHeight="1">
      <c r="M45" s="17"/>
      <c r="N45" s="17"/>
      <c r="O45" s="17"/>
    </row>
    <row r="46" spans="2:23">
      <c r="M46" s="4"/>
      <c r="N46" s="4"/>
      <c r="O46" s="4"/>
    </row>
    <row r="47" spans="2:23">
      <c r="M47" s="4"/>
      <c r="N47" s="4"/>
      <c r="O47" s="4"/>
    </row>
  </sheetData>
  <mergeCells count="13">
    <mergeCell ref="U29:W29"/>
    <mergeCell ref="A3:A4"/>
    <mergeCell ref="N3:P3"/>
    <mergeCell ref="I8:L15"/>
    <mergeCell ref="I5:L7"/>
    <mergeCell ref="I29:K29"/>
    <mergeCell ref="A1:L1"/>
    <mergeCell ref="N17:T17"/>
    <mergeCell ref="I23:L23"/>
    <mergeCell ref="N23:T23"/>
    <mergeCell ref="B3:D3"/>
    <mergeCell ref="F3:H3"/>
    <mergeCell ref="I17:L17"/>
  </mergeCells>
  <phoneticPr fontId="2" type="noConversion"/>
  <pageMargins left="0.75" right="0.75" top="1" bottom="1" header="0.5" footer="0.5"/>
  <pageSetup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Points-to-Points</vt:lpstr>
    </vt:vector>
  </TitlesOfParts>
  <Company>Perceptron,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Dale Greer</dc:creator>
  <cp:lastModifiedBy>brettb</cp:lastModifiedBy>
  <dcterms:created xsi:type="dcterms:W3CDTF">2004-07-26T13:06:53Z</dcterms:created>
  <dcterms:modified xsi:type="dcterms:W3CDTF">2010-07-12T20:07:44Z</dcterms:modified>
</cp:coreProperties>
</file>