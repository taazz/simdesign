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176" yWindow="0" windowWidth="18252" windowHeight="14496" tabRatio="934" firstSheet="5" activeTab="5"/>
  </bookViews>
  <sheets>
    <sheet name="Documentation notes" sheetId="3" r:id="rId1"/>
    <sheet name="Unitized cross product example" sheetId="1" r:id="rId2"/>
    <sheet name="Dot product example" sheetId="2" r:id="rId3"/>
    <sheet name="Vector Length example" sheetId="5" r:id="rId4"/>
    <sheet name="Corner-Edge NTM conversions" sheetId="8" r:id="rId5"/>
    <sheet name="Points-to-Points" sheetId="18" r:id="rId6"/>
  </sheets>
  <functionGroups/>
  <calcPr calcId="125725"/>
</workbook>
</file>

<file path=xl/calcChain.xml><?xml version="1.0" encoding="utf-8"?>
<calcChain xmlns="http://schemas.openxmlformats.org/spreadsheetml/2006/main">
  <c r="P16" i="18"/>
  <c r="O16"/>
  <c r="N16"/>
  <c r="P15"/>
  <c r="O15"/>
  <c r="N15"/>
  <c r="P14"/>
  <c r="O14"/>
  <c r="N14"/>
  <c r="P13"/>
  <c r="O13"/>
  <c r="N13"/>
  <c r="P12"/>
  <c r="O12"/>
  <c r="N12"/>
  <c r="K44"/>
  <c r="J44"/>
  <c r="I44"/>
  <c r="K43"/>
  <c r="J43"/>
  <c r="I43"/>
  <c r="K42"/>
  <c r="J42"/>
  <c r="I42"/>
  <c r="K41"/>
  <c r="J41"/>
  <c r="I41"/>
  <c r="K40"/>
  <c r="J40"/>
  <c r="I40"/>
  <c r="K39"/>
  <c r="J39"/>
  <c r="I39"/>
  <c r="K38"/>
  <c r="J38"/>
  <c r="I38"/>
  <c r="K37"/>
  <c r="J37"/>
  <c r="I37"/>
  <c r="E6" i="5"/>
  <c r="E5"/>
  <c r="E4"/>
  <c r="E3"/>
  <c r="J36" i="18"/>
  <c r="O11"/>
  <c r="K36"/>
  <c r="P11"/>
  <c r="I36"/>
  <c r="N11"/>
  <c r="G3" i="1" a="1"/>
  <c r="D6" i="5"/>
  <c r="D4"/>
  <c r="G3" i="2"/>
  <c r="G4" i="8"/>
  <c r="I18" i="18" a="1"/>
  <c r="D5" i="5"/>
  <c r="J4" i="8" a="1"/>
  <c r="D3" i="5"/>
  <c r="K4" i="8" l="1"/>
  <c r="L4"/>
  <c r="J4"/>
  <c r="I19" i="18"/>
  <c r="L19"/>
  <c r="O18" s="1"/>
  <c r="K18"/>
  <c r="L18"/>
  <c r="N18" s="1"/>
  <c r="J20"/>
  <c r="J19"/>
  <c r="J21"/>
  <c r="I18"/>
  <c r="J18"/>
  <c r="L21"/>
  <c r="K21"/>
  <c r="L20"/>
  <c r="P18" s="1"/>
  <c r="I21"/>
  <c r="K20"/>
  <c r="I20"/>
  <c r="K19"/>
  <c r="G3" i="1"/>
  <c r="H3"/>
  <c r="I3"/>
  <c r="N4" i="8"/>
  <c r="O4"/>
  <c r="Q18" i="18" a="1"/>
  <c r="R18" l="1"/>
  <c r="S18"/>
  <c r="T18"/>
  <c r="Q18"/>
  <c r="I35"/>
  <c r="N10" s="1"/>
  <c r="I33"/>
  <c r="N8" s="1"/>
  <c r="I31"/>
  <c r="N6" s="1"/>
  <c r="I24" a="1"/>
  <c r="I30"/>
  <c r="N5" s="1"/>
  <c r="I34"/>
  <c r="N9" s="1"/>
  <c r="I32"/>
  <c r="N7" s="1"/>
  <c r="K34"/>
  <c r="P9" s="1"/>
  <c r="K32"/>
  <c r="P7" s="1"/>
  <c r="K30"/>
  <c r="P5" s="1"/>
  <c r="K35"/>
  <c r="P10" s="1"/>
  <c r="K31"/>
  <c r="P6" s="1"/>
  <c r="K33"/>
  <c r="P8" s="1"/>
  <c r="J34"/>
  <c r="O9" s="1"/>
  <c r="J32"/>
  <c r="O7" s="1"/>
  <c r="J30"/>
  <c r="O5" s="1"/>
  <c r="J35"/>
  <c r="O10" s="1"/>
  <c r="J33"/>
  <c r="O8" s="1"/>
  <c r="J31"/>
  <c r="O6" s="1"/>
  <c r="K25" l="1"/>
  <c r="J24"/>
  <c r="I24"/>
  <c r="J25"/>
  <c r="L24"/>
  <c r="N24" s="1"/>
  <c r="L25"/>
  <c r="O24" s="1"/>
  <c r="K26"/>
  <c r="L26"/>
  <c r="P24" s="1"/>
  <c r="I25"/>
  <c r="K27"/>
  <c r="L27"/>
  <c r="I26"/>
  <c r="K24"/>
  <c r="J26"/>
  <c r="I27"/>
  <c r="J27"/>
  <c r="Q24" a="1"/>
  <c r="R24" l="1"/>
  <c r="Q24"/>
  <c r="T24"/>
  <c r="S24"/>
</calcChain>
</file>

<file path=xl/sharedStrings.xml><?xml version="1.0" encoding="utf-8"?>
<sst xmlns="http://schemas.openxmlformats.org/spreadsheetml/2006/main" count="97" uniqueCount="64">
  <si>
    <t>I</t>
  </si>
  <si>
    <t>J</t>
  </si>
  <si>
    <t>K</t>
  </si>
  <si>
    <t>Unitized Cross Product</t>
  </si>
  <si>
    <t>Dot Product</t>
  </si>
  <si>
    <t xml:space="preserve">     Scalar = VDot(IJK1, IJK2)</t>
  </si>
  <si>
    <t xml:space="preserve">     Scalar = VAbs(IJK)</t>
  </si>
  <si>
    <t xml:space="preserve">     Scalar = VDist(XYZ1, XYZ2)</t>
  </si>
  <si>
    <t xml:space="preserve">     [I J K 0] = VUnit(IJK)</t>
  </si>
  <si>
    <t xml:space="preserve">     [I J K 0] = VCross(IJK1, IJK2)</t>
  </si>
  <si>
    <t xml:space="preserve">     [I J K 0] = VUnitCross(IJK1, IJK2)</t>
  </si>
  <si>
    <t xml:space="preserve">     [X Y Z 1 distance] = LinesIntersect(line1_XYZ, line1_IJK, line2_XYZ, line2_IJK)</t>
  </si>
  <si>
    <t>First Vector</t>
  </si>
  <si>
    <t>Second Vector</t>
  </si>
  <si>
    <t>X</t>
  </si>
  <si>
    <t>Y</t>
  </si>
  <si>
    <t>Z</t>
  </si>
  <si>
    <t>Absolute Angle Between IJKs</t>
  </si>
  <si>
    <t>Vector Length</t>
  </si>
  <si>
    <t xml:space="preserve">     [X Y Z 1 distance] = PlanesIntersect(plane1_XYZ, plane1_IJK, plane2_XYZ, plane2_IJK)</t>
  </si>
  <si>
    <t>First plane</t>
  </si>
  <si>
    <t>Second plane</t>
  </si>
  <si>
    <t>First NTM offset</t>
  </si>
  <si>
    <t>Second NTM offset</t>
  </si>
  <si>
    <t>NTF offset</t>
  </si>
  <si>
    <t>Validation</t>
  </si>
  <si>
    <t>First NTM</t>
  </si>
  <si>
    <t>Second NTM</t>
  </si>
  <si>
    <t>This computes the body coordinate (NTF) result from two NTM measurements and the associated IJK's.  This may be used for corner, edge or other forms of 2-D measurements.
This conversion is appropriate for NTM to body coordinate deviations or offsets.
Note that the direction of the IJK's is important!  Also note that the following example has a 79 degree separation, not a good definition for an edge, where 90 degrees separation is expected.
The validation section is there to show how to check this result, but also shows how to convert a body coordinate result into NTM result.  It uses the assumption that the IJK's are unit length.
In this context, the validation must match the original NTM offsets.</t>
  </si>
  <si>
    <t>Vector</t>
  </si>
  <si>
    <t>&lt;&lt; This "distance" is similar to the LinesIntersect concept.</t>
  </si>
  <si>
    <t>&lt;&lt; "distance" is the computed distance between the skew lines.</t>
  </si>
  <si>
    <t>&lt;&lt; Result is in radians.  Use "DEGREES" function to convert.</t>
  </si>
  <si>
    <t xml:space="preserve">     Scalar = AbsAngleBetweenVectors(IJK1, IJK2)</t>
  </si>
  <si>
    <r>
      <t xml:space="preserve">Color conventions:
</t>
    </r>
    <r>
      <rPr>
        <sz val="10"/>
        <color indexed="42"/>
        <rFont val="Arial"/>
        <family val="2"/>
      </rPr>
      <t>█</t>
    </r>
    <r>
      <rPr>
        <sz val="10"/>
        <rFont val="Arial"/>
        <family val="2"/>
      </rPr>
      <t xml:space="preserve">Green  - data entry
</t>
    </r>
    <r>
      <rPr>
        <sz val="10"/>
        <color indexed="41"/>
        <rFont val="Arial"/>
        <family val="2"/>
      </rPr>
      <t>█</t>
    </r>
    <r>
      <rPr>
        <sz val="10"/>
        <rFont val="Arial"/>
        <family val="2"/>
      </rPr>
      <t>Blue    - computed results</t>
    </r>
    <r>
      <rPr>
        <sz val="10"/>
        <rFont val="Arial"/>
      </rPr>
      <t xml:space="preserve">
</t>
    </r>
    <r>
      <rPr>
        <sz val="10"/>
        <color indexed="43"/>
        <rFont val="Arial"/>
        <family val="2"/>
      </rPr>
      <t>█</t>
    </r>
    <r>
      <rPr>
        <sz val="10"/>
        <rFont val="Arial"/>
      </rPr>
      <t xml:space="preserve">Yellow - entry for expert users, or requires care when modifying
</t>
    </r>
    <r>
      <rPr>
        <sz val="10"/>
        <color indexed="10"/>
        <rFont val="Arial"/>
        <family val="2"/>
      </rPr>
      <t>█</t>
    </r>
    <r>
      <rPr>
        <b/>
        <sz val="10"/>
        <color indexed="10"/>
        <rFont val="Arial"/>
        <family val="2"/>
      </rPr>
      <t xml:space="preserve">Red   </t>
    </r>
    <r>
      <rPr>
        <b/>
        <sz val="10"/>
        <rFont val="Arial"/>
        <family val="2"/>
      </rPr>
      <t xml:space="preserve"> </t>
    </r>
    <r>
      <rPr>
        <sz val="10"/>
        <rFont val="Arial"/>
        <family val="2"/>
      </rPr>
      <t>- error or warning condition</t>
    </r>
  </si>
  <si>
    <t>&lt;&lt; Note the 5-element array output format</t>
  </si>
  <si>
    <t xml:space="preserve">     [InclineX  InclineY  InclineZ  "XY"/"YZ"  Sweep] =
        QuaternionToSensorAngles(Quaternion, SensorCaseToToolMatrix, RobotToGaugeMatrix)</t>
  </si>
  <si>
    <t>Vector Length (SQRT)</t>
  </si>
  <si>
    <t xml:space="preserve">     Matrix = XYZ_RotationMatrix(Tx, Ty, Tz, Rx, Ry, Rz)</t>
  </si>
  <si>
    <t>&lt;&lt; See "ZYX matrix mapping example" worksheet"</t>
  </si>
  <si>
    <t>&lt;&lt; See "XYZ matrix mapping example" worksheet"</t>
  </si>
  <si>
    <t>&lt;&lt; See "ZYX_atrix mapping example" worksheet"</t>
  </si>
  <si>
    <t xml:space="preserve">     Matrix = ZYX_RotationMatrix(Tx, Ty, Tz, Rx, Ry, Rz)</t>
  </si>
  <si>
    <t xml:space="preserve">     [Rx  Ry  Rz] = ExtractXYZAngles(Matrix)</t>
  </si>
  <si>
    <t xml:space="preserve">     [Rx  Ry  Rz] = ExtractZYXAngles(Matrix)</t>
  </si>
  <si>
    <t xml:space="preserve">     [3x3 Matrix] = OrthogonalizeMatrix(3x3 Matrix)</t>
  </si>
  <si>
    <t>&lt;&lt; See "Orthogonalize" worksheet</t>
  </si>
  <si>
    <t>The functions in this module provide some basic 3-D vector computations.  Version:  August, 2005
Note that most of the  functions allow for either horizontal or vertical vectors for input and output.  Current exceptions are LinesIntersect, ExtendSectionOffset, ExtendCornerEdgeOffset and some of the quaternion conversion tools.
Note that there is a 4th element of 0 or 1 for the vectors.  This may be 0 which indicates a direction vector, difference or offset.  A 1 in the 4th position indicates an absolute XYZ location.  This is currently output of 0's only, excepting the LinesIntersect function, which is a point. Very few applications will need this 4th component, it is there mostly for completeness.  The 4x4 matrix convention also supports the 0/1 logic.
Note the 5th array element for LinesIntersect and PlanesIntersect function.
PlanesIntersect is the tool that is used to compute the theoretical intersect point given a pair of XYZ/IJKs common to corner and edge definitions.  See the "Corner point example" worksheet.
Some of the following functions start with the letter V for vector.  The included functions are:</t>
  </si>
  <si>
    <t>Position #</t>
  </si>
  <si>
    <t>Robot Position</t>
  </si>
  <si>
    <t>Nominal Position</t>
  </si>
  <si>
    <t>Robot positions transformed</t>
  </si>
  <si>
    <t>Residuals</t>
  </si>
  <si>
    <t>XYZ and Quaternion:</t>
  </si>
  <si>
    <t>XYZ and Quaternion for inverse:</t>
  </si>
  <si>
    <t>&lt;&lt; Minimum of 3 points required</t>
  </si>
  <si>
    <t>&lt;&lt;&lt; Fill in only the defined XYZs.  Undefined points entries must be empty.</t>
  </si>
  <si>
    <t>Computed robot-to-nominal matrix</t>
  </si>
  <si>
    <t>Inverse of robot-to-nominal matrix</t>
  </si>
  <si>
    <t>For inserting an array result, Excel has a feature where the array result cells are selected, then type Ctrl-Shift-Enter.</t>
  </si>
  <si>
    <t xml:space="preserve">     Points-to-Points mapping</t>
  </si>
  <si>
    <t>&lt;&lt; Used to find the best-fit transform between equivalent points in different coordinate frames</t>
  </si>
  <si>
    <t xml:space="preserve">     Distance = PlaneToPointDistance(PlaneXYZ, PlaneIJK, Point)</t>
  </si>
  <si>
    <t>This generates a best-fit mapping from one set of points to another.  The assumption is the points are the same points, simply expressed in different coordinate frames.  If they are not, the residuals will become quite large.
For most robots, they are not accurate, which depends on the quality of the calibration.  Residuals for a well-calibrated robot may be 1-2mm.  A poorly calibrated robot may be as high as 15-20mm.  Most of the robots used for FMS should be in the 1-2mm range.
The XYZ and Quaternion results are to support ABB robot transformations.</t>
  </si>
</sst>
</file>

<file path=xl/styles.xml><?xml version="1.0" encoding="utf-8"?>
<styleSheet xmlns="http://schemas.openxmlformats.org/spreadsheetml/2006/main">
  <numFmts count="4">
    <numFmt numFmtId="165" formatCode="0.0000"/>
    <numFmt numFmtId="167" formatCode="0.0"/>
    <numFmt numFmtId="168" formatCode="0.000"/>
    <numFmt numFmtId="169" formatCode="0.000000"/>
  </numFmts>
  <fonts count="14">
    <font>
      <sz val="10"/>
      <name val="Arial"/>
    </font>
    <font>
      <b/>
      <sz val="10"/>
      <name val="Arial"/>
      <family val="2"/>
    </font>
    <font>
      <b/>
      <sz val="12"/>
      <name val="Arial"/>
      <family val="2"/>
    </font>
    <font>
      <b/>
      <sz val="10"/>
      <color indexed="9"/>
      <name val="Arial"/>
      <family val="2"/>
    </font>
    <font>
      <sz val="10"/>
      <name val="Arial"/>
      <family val="2"/>
    </font>
    <font>
      <b/>
      <sz val="10"/>
      <color indexed="10"/>
      <name val="Arial"/>
      <family val="2"/>
    </font>
    <font>
      <sz val="10"/>
      <color indexed="42"/>
      <name val="Arial"/>
      <family val="2"/>
    </font>
    <font>
      <sz val="10"/>
      <color indexed="41"/>
      <name val="Arial"/>
      <family val="2"/>
    </font>
    <font>
      <sz val="10"/>
      <color indexed="43"/>
      <name val="Arial"/>
      <family val="2"/>
    </font>
    <font>
      <sz val="10"/>
      <color indexed="10"/>
      <name val="Arial"/>
      <family val="2"/>
    </font>
    <font>
      <sz val="8"/>
      <name val="Arial"/>
      <family val="2"/>
    </font>
    <font>
      <sz val="11"/>
      <color rgb="FFFF0000"/>
      <name val="Calibri"/>
      <family val="2"/>
      <scheme val="minor"/>
    </font>
    <font>
      <sz val="1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7"/>
        <bgColor indexed="64"/>
      </patternFill>
    </fill>
    <fill>
      <patternFill patternType="solid">
        <fgColor rgb="FFFFFF00"/>
        <bgColor indexed="64"/>
      </patternFill>
    </fill>
  </fills>
  <borders count="47">
    <border>
      <left/>
      <right/>
      <top/>
      <bottom/>
      <diagonal/>
    </border>
    <border>
      <left style="thick">
        <color indexed="64"/>
      </left>
      <right/>
      <top/>
      <bottom/>
      <diagonal/>
    </border>
    <border>
      <left/>
      <right style="thick">
        <color indexed="64"/>
      </right>
      <top/>
      <bottom/>
      <diagonal/>
    </border>
    <border>
      <left/>
      <right/>
      <top style="medium">
        <color indexed="64"/>
      </top>
      <bottom/>
      <diagonal/>
    </border>
    <border>
      <left style="medium">
        <color indexed="64"/>
      </left>
      <right/>
      <top style="thick">
        <color indexed="64"/>
      </top>
      <bottom/>
      <diagonal/>
    </border>
    <border>
      <left/>
      <right/>
      <top style="thick">
        <color indexed="64"/>
      </top>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medium">
        <color indexed="64"/>
      </left>
      <right/>
      <top/>
      <bottom/>
      <diagonal/>
    </border>
    <border>
      <left/>
      <right style="thick">
        <color indexed="64"/>
      </right>
      <top style="medium">
        <color indexed="64"/>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ck">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medium">
        <color indexed="64"/>
      </left>
      <right/>
      <top style="medium">
        <color indexed="64"/>
      </top>
      <bottom/>
      <diagonal/>
    </border>
    <border>
      <left style="thick">
        <color indexed="64"/>
      </left>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bottom/>
      <diagonal/>
    </border>
    <border>
      <left style="thin">
        <color indexed="64"/>
      </left>
      <right style="thick">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indexed="64"/>
      </right>
      <top style="thick">
        <color indexed="64"/>
      </top>
      <bottom/>
      <diagonal/>
    </border>
    <border>
      <left/>
      <right/>
      <top/>
      <bottom style="thick">
        <color indexed="64"/>
      </bottom>
      <diagonal/>
    </border>
    <border>
      <left/>
      <right style="medium">
        <color indexed="64"/>
      </right>
      <top/>
      <bottom/>
      <diagonal/>
    </border>
    <border>
      <left/>
      <right/>
      <top style="thin">
        <color indexed="64"/>
      </top>
      <bottom/>
      <diagonal/>
    </border>
    <border>
      <left/>
      <right style="thick">
        <color indexed="64"/>
      </right>
      <top style="thin">
        <color indexed="64"/>
      </top>
      <bottom/>
      <diagonal/>
    </border>
    <border>
      <left/>
      <right style="medium">
        <color indexed="64"/>
      </right>
      <top style="medium">
        <color indexed="64"/>
      </top>
      <bottom/>
      <diagonal/>
    </border>
    <border>
      <left/>
      <right style="thin">
        <color indexed="9"/>
      </right>
      <top/>
      <bottom/>
      <diagonal/>
    </border>
    <border>
      <left style="thin">
        <color indexed="9"/>
      </left>
      <right style="thin">
        <color indexed="9"/>
      </right>
      <top/>
      <bottom/>
      <diagonal/>
    </border>
    <border>
      <left style="thin">
        <color indexed="9"/>
      </left>
      <right style="thick">
        <color indexed="64"/>
      </right>
      <top/>
      <bottom/>
      <diagonal/>
    </border>
    <border>
      <left style="thin">
        <color indexed="64"/>
      </left>
      <right/>
      <top style="thin">
        <color indexed="64"/>
      </top>
      <bottom/>
      <diagonal/>
    </border>
    <border>
      <left style="thick">
        <color indexed="64"/>
      </left>
      <right/>
      <top style="thin">
        <color indexed="64"/>
      </top>
      <bottom/>
      <diagonal/>
    </border>
    <border>
      <left style="thick">
        <color indexed="64"/>
      </left>
      <right style="thick">
        <color indexed="64"/>
      </right>
      <top style="thin">
        <color indexed="64"/>
      </top>
      <bottom/>
      <diagonal/>
    </border>
    <border>
      <left style="medium">
        <color indexed="64"/>
      </left>
      <right style="thin">
        <color indexed="64"/>
      </right>
      <top/>
      <bottom/>
      <diagonal/>
    </border>
    <border>
      <left style="thick">
        <color indexed="64"/>
      </left>
      <right style="thin">
        <color indexed="64"/>
      </right>
      <top style="thick">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indexed="64"/>
      </left>
      <right style="thick">
        <color indexed="64"/>
      </right>
      <top style="medium">
        <color indexed="64"/>
      </top>
      <bottom/>
      <diagonal/>
    </border>
  </borders>
  <cellStyleXfs count="1">
    <xf numFmtId="0" fontId="0" fillId="0" borderId="0"/>
  </cellStyleXfs>
  <cellXfs count="147">
    <xf numFmtId="0" fontId="0" fillId="0" borderId="0" xfId="0"/>
    <xf numFmtId="0" fontId="0" fillId="0" borderId="1" xfId="0" applyBorder="1"/>
    <xf numFmtId="0" fontId="0" fillId="0" borderId="2" xfId="0" applyBorder="1"/>
    <xf numFmtId="0" fontId="0" fillId="0" borderId="0" xfId="0" applyBorder="1"/>
    <xf numFmtId="165" fontId="0" fillId="0" borderId="1" xfId="0" applyNumberFormat="1" applyBorder="1"/>
    <xf numFmtId="165" fontId="0" fillId="0" borderId="0" xfId="0" applyNumberFormat="1" applyBorder="1"/>
    <xf numFmtId="165" fontId="0" fillId="0" borderId="2" xfId="0" applyNumberFormat="1" applyBorder="1"/>
    <xf numFmtId="165" fontId="0" fillId="0" borderId="0" xfId="0" applyNumberFormat="1" applyFill="1" applyBorder="1"/>
    <xf numFmtId="165" fontId="0" fillId="0" borderId="4" xfId="0" applyNumberFormat="1" applyBorder="1"/>
    <xf numFmtId="165" fontId="0" fillId="0" borderId="5" xfId="0" applyNumberFormat="1" applyBorder="1"/>
    <xf numFmtId="165" fontId="0" fillId="0" borderId="6" xfId="0" applyNumberFormat="1" applyBorder="1"/>
    <xf numFmtId="0" fontId="0" fillId="0" borderId="0" xfId="0" applyAlignment="1">
      <alignment vertical="center"/>
    </xf>
    <xf numFmtId="165" fontId="0" fillId="0" borderId="7" xfId="0" applyNumberFormat="1" applyBorder="1"/>
    <xf numFmtId="165" fontId="0" fillId="0" borderId="8" xfId="0" applyNumberFormat="1" applyBorder="1"/>
    <xf numFmtId="0" fontId="0" fillId="0" borderId="10" xfId="0" applyBorder="1"/>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4" xfId="0" applyFont="1" applyFill="1" applyBorder="1" applyAlignment="1">
      <alignment horizontal="center"/>
    </xf>
    <xf numFmtId="0" fontId="1" fillId="3" borderId="12" xfId="0" applyFont="1" applyFill="1" applyBorder="1" applyAlignment="1">
      <alignment horizontal="center"/>
    </xf>
    <xf numFmtId="0" fontId="1" fillId="3" borderId="13" xfId="0" applyFont="1" applyFill="1" applyBorder="1" applyAlignment="1">
      <alignment horizontal="center"/>
    </xf>
    <xf numFmtId="0" fontId="1" fillId="3" borderId="14" xfId="0" applyFont="1" applyFill="1" applyBorder="1" applyAlignment="1">
      <alignment horizontal="center"/>
    </xf>
    <xf numFmtId="0" fontId="0" fillId="0" borderId="7" xfId="0" applyBorder="1"/>
    <xf numFmtId="165" fontId="0" fillId="0" borderId="17" xfId="0" applyNumberFormat="1" applyBorder="1"/>
    <xf numFmtId="165" fontId="0" fillId="0" borderId="18" xfId="0" applyNumberFormat="1" applyBorder="1"/>
    <xf numFmtId="165" fontId="0" fillId="0" borderId="19" xfId="0" applyNumberFormat="1" applyBorder="1"/>
    <xf numFmtId="2" fontId="0" fillId="0" borderId="1" xfId="0" applyNumberFormat="1" applyBorder="1"/>
    <xf numFmtId="0" fontId="3" fillId="4" borderId="20" xfId="0" applyFont="1" applyFill="1" applyBorder="1" applyAlignment="1">
      <alignment horizontal="center"/>
    </xf>
    <xf numFmtId="0" fontId="3" fillId="4" borderId="21" xfId="0" applyFont="1" applyFill="1" applyBorder="1" applyAlignment="1">
      <alignment horizontal="center"/>
    </xf>
    <xf numFmtId="2" fontId="0" fillId="0" borderId="20" xfId="0" applyNumberFormat="1" applyBorder="1" applyAlignment="1">
      <alignment horizontal="center"/>
    </xf>
    <xf numFmtId="2" fontId="0" fillId="0" borderId="21" xfId="0" applyNumberFormat="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0" xfId="0" applyBorder="1" applyAlignment="1">
      <alignment vertical="center" wrapText="1"/>
    </xf>
    <xf numFmtId="2" fontId="0" fillId="0" borderId="29" xfId="0" applyNumberFormat="1" applyBorder="1"/>
    <xf numFmtId="2" fontId="0" fillId="0" borderId="30" xfId="0" applyNumberFormat="1" applyBorder="1"/>
    <xf numFmtId="0" fontId="1" fillId="2" borderId="20" xfId="0" applyFont="1" applyFill="1" applyBorder="1" applyAlignment="1">
      <alignment horizontal="center"/>
    </xf>
    <xf numFmtId="0" fontId="1" fillId="2" borderId="22" xfId="0" applyFont="1" applyFill="1" applyBorder="1" applyAlignment="1">
      <alignment horizontal="center"/>
    </xf>
    <xf numFmtId="0" fontId="1" fillId="2" borderId="21" xfId="0" applyFont="1" applyFill="1" applyBorder="1" applyAlignment="1">
      <alignment horizontal="center"/>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165" fontId="0" fillId="0" borderId="35" xfId="0" applyNumberFormat="1" applyBorder="1"/>
    <xf numFmtId="165" fontId="0" fillId="0" borderId="29" xfId="0" applyNumberFormat="1" applyBorder="1"/>
    <xf numFmtId="165" fontId="0" fillId="0" borderId="36" xfId="0" applyNumberFormat="1" applyBorder="1"/>
    <xf numFmtId="165" fontId="0" fillId="0" borderId="30" xfId="0" applyNumberFormat="1" applyBorder="1"/>
    <xf numFmtId="167" fontId="0" fillId="0" borderId="29" xfId="0" applyNumberFormat="1" applyBorder="1" applyAlignment="1">
      <alignment horizontal="center"/>
    </xf>
    <xf numFmtId="2" fontId="0" fillId="0" borderId="37" xfId="0" applyNumberFormat="1" applyFill="1" applyBorder="1" applyAlignment="1">
      <alignment horizontal="center"/>
    </xf>
    <xf numFmtId="2" fontId="0" fillId="0" borderId="29" xfId="0" applyNumberFormat="1" applyFill="1" applyBorder="1" applyAlignment="1">
      <alignment horizontal="center"/>
    </xf>
    <xf numFmtId="2" fontId="0" fillId="0" borderId="36" xfId="0" applyNumberFormat="1" applyBorder="1"/>
    <xf numFmtId="0" fontId="1" fillId="2" borderId="38" xfId="0" applyFont="1" applyFill="1" applyBorder="1" applyAlignment="1">
      <alignment horizontal="center"/>
    </xf>
    <xf numFmtId="0" fontId="0" fillId="0" borderId="0" xfId="0" applyBorder="1" applyAlignment="1">
      <alignment vertical="center" wrapText="1"/>
    </xf>
    <xf numFmtId="0" fontId="0" fillId="0" borderId="28" xfId="0" applyBorder="1" applyAlignment="1">
      <alignment vertical="center" wrapText="1"/>
    </xf>
    <xf numFmtId="0" fontId="0" fillId="0" borderId="40" xfId="0" applyBorder="1" applyAlignment="1">
      <alignment vertical="center" wrapText="1"/>
    </xf>
    <xf numFmtId="0" fontId="0" fillId="0" borderId="26" xfId="0" applyBorder="1" applyAlignment="1">
      <alignment vertical="center"/>
    </xf>
    <xf numFmtId="0" fontId="0" fillId="0" borderId="2" xfId="0" applyBorder="1" applyAlignment="1">
      <alignment vertical="center"/>
    </xf>
    <xf numFmtId="0" fontId="0" fillId="0" borderId="39" xfId="0" applyBorder="1" applyAlignment="1">
      <alignment vertical="center" wrapText="1"/>
    </xf>
    <xf numFmtId="0" fontId="0" fillId="0" borderId="0" xfId="0" applyFill="1" applyBorder="1"/>
    <xf numFmtId="167" fontId="0" fillId="0" borderId="8" xfId="0" applyNumberFormat="1" applyBorder="1"/>
    <xf numFmtId="167" fontId="0" fillId="0" borderId="0" xfId="0" applyNumberFormat="1" applyBorder="1"/>
    <xf numFmtId="167" fontId="0" fillId="0" borderId="28" xfId="0" applyNumberFormat="1" applyBorder="1"/>
    <xf numFmtId="167" fontId="0" fillId="0" borderId="23" xfId="0" applyNumberFormat="1" applyBorder="1"/>
    <xf numFmtId="167" fontId="0" fillId="0" borderId="24" xfId="0" applyNumberFormat="1" applyBorder="1"/>
    <xf numFmtId="0" fontId="0" fillId="0" borderId="0" xfId="0" applyAlignment="1">
      <alignment horizontal="center"/>
    </xf>
    <xf numFmtId="0" fontId="0" fillId="0" borderId="45"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28" xfId="0" applyBorder="1" applyAlignment="1">
      <alignment horizontal="center"/>
    </xf>
    <xf numFmtId="169" fontId="0" fillId="0" borderId="24" xfId="0" applyNumberFormat="1" applyBorder="1"/>
    <xf numFmtId="169" fontId="0" fillId="0" borderId="25" xfId="0" applyNumberFormat="1" applyBorder="1"/>
    <xf numFmtId="167" fontId="0" fillId="0" borderId="0" xfId="0" applyNumberFormat="1" applyFill="1" applyBorder="1"/>
    <xf numFmtId="0" fontId="0" fillId="0" borderId="0" xfId="0" applyFill="1" applyBorder="1" applyAlignment="1">
      <alignment horizontal="center"/>
    </xf>
    <xf numFmtId="169" fontId="0" fillId="0" borderId="0" xfId="0" applyNumberFormat="1" applyBorder="1" applyAlignment="1">
      <alignment horizontal="center" vertical="center" wrapText="1"/>
    </xf>
    <xf numFmtId="0" fontId="0" fillId="0" borderId="0" xfId="0" applyBorder="1" applyAlignment="1">
      <alignment horizontal="center" vertical="center" wrapText="1"/>
    </xf>
    <xf numFmtId="0" fontId="0" fillId="0" borderId="1" xfId="0" applyBorder="1" applyAlignment="1">
      <alignment vertical="center" wrapText="1"/>
    </xf>
    <xf numFmtId="0" fontId="0" fillId="0" borderId="2" xfId="0" applyBorder="1" applyAlignment="1">
      <alignment vertical="center" wrapText="1"/>
    </xf>
    <xf numFmtId="165" fontId="0" fillId="0" borderId="28" xfId="0" applyNumberFormat="1" applyBorder="1"/>
    <xf numFmtId="165" fontId="0" fillId="0" borderId="0" xfId="0" applyNumberFormat="1"/>
    <xf numFmtId="169" fontId="0" fillId="0" borderId="8" xfId="0" applyNumberFormat="1" applyBorder="1"/>
    <xf numFmtId="169" fontId="0" fillId="0" borderId="0" xfId="0" applyNumberFormat="1" applyBorder="1"/>
    <xf numFmtId="169" fontId="0" fillId="0" borderId="28" xfId="0" applyNumberFormat="1" applyBorder="1"/>
    <xf numFmtId="169" fontId="0" fillId="0" borderId="23" xfId="0" applyNumberFormat="1" applyBorder="1"/>
    <xf numFmtId="165" fontId="4" fillId="0" borderId="0" xfId="0" applyNumberFormat="1" applyFont="1" applyFill="1" applyBorder="1"/>
    <xf numFmtId="0" fontId="11" fillId="0" borderId="0" xfId="0" applyFont="1" applyFill="1" applyBorder="1"/>
    <xf numFmtId="168" fontId="12" fillId="0" borderId="0" xfId="0" applyNumberFormat="1" applyFont="1" applyFill="1" applyBorder="1" applyAlignment="1">
      <alignment horizontal="center"/>
    </xf>
    <xf numFmtId="0" fontId="13" fillId="0" borderId="0" xfId="0" applyFont="1" applyFill="1" applyBorder="1"/>
    <xf numFmtId="0" fontId="0" fillId="0" borderId="0" xfId="0" applyAlignment="1">
      <alignment vertical="center" wrapText="1"/>
    </xf>
    <xf numFmtId="0" fontId="0" fillId="0" borderId="0" xfId="0" applyAlignment="1">
      <alignment wrapText="1"/>
    </xf>
    <xf numFmtId="0" fontId="2" fillId="2" borderId="0" xfId="0" applyFont="1" applyFill="1" applyAlignment="1">
      <alignment horizontal="center" vertical="center" wrapText="1"/>
    </xf>
    <xf numFmtId="0" fontId="0" fillId="0" borderId="27" xfId="0" applyBorder="1" applyAlignment="1">
      <alignment vertical="center" wrapText="1"/>
    </xf>
    <xf numFmtId="0" fontId="0" fillId="0" borderId="27" xfId="0" applyBorder="1" applyAlignment="1">
      <alignment wrapText="1"/>
    </xf>
    <xf numFmtId="0" fontId="0" fillId="0" borderId="5" xfId="0" applyBorder="1" applyAlignment="1">
      <alignment vertical="center" wrapText="1"/>
    </xf>
    <xf numFmtId="0" fontId="0" fillId="0" borderId="5" xfId="0" applyBorder="1" applyAlignment="1">
      <alignment wrapText="1"/>
    </xf>
    <xf numFmtId="0" fontId="1" fillId="2" borderId="15" xfId="0" applyFont="1" applyFill="1" applyBorder="1" applyAlignment="1">
      <alignment horizontal="center" wrapText="1"/>
    </xf>
    <xf numFmtId="0" fontId="1" fillId="2" borderId="3" xfId="0" applyFont="1" applyFill="1" applyBorder="1" applyAlignment="1">
      <alignment horizontal="center" wrapText="1"/>
    </xf>
    <xf numFmtId="0" fontId="1" fillId="2" borderId="16" xfId="0" applyFont="1" applyFill="1" applyBorder="1" applyAlignment="1">
      <alignment horizontal="center" wrapText="1"/>
    </xf>
    <xf numFmtId="0" fontId="1" fillId="2" borderId="9" xfId="0" applyFont="1" applyFill="1" applyBorder="1" applyAlignment="1">
      <alignment horizontal="center" wrapText="1"/>
    </xf>
    <xf numFmtId="0" fontId="1" fillId="3" borderId="16" xfId="0" applyFont="1" applyFill="1" applyBorder="1" applyAlignment="1">
      <alignment horizontal="center" wrapText="1"/>
    </xf>
    <xf numFmtId="0" fontId="1" fillId="3" borderId="3" xfId="0" applyFont="1" applyFill="1" applyBorder="1" applyAlignment="1">
      <alignment horizontal="center" wrapText="1"/>
    </xf>
    <xf numFmtId="0" fontId="1" fillId="3" borderId="9" xfId="0" applyFont="1" applyFill="1" applyBorder="1" applyAlignment="1">
      <alignment horizontal="center" wrapText="1"/>
    </xf>
    <xf numFmtId="0" fontId="1" fillId="3" borderId="7" xfId="0" applyFont="1" applyFill="1" applyBorder="1" applyAlignment="1">
      <alignment horizontal="center" wrapText="1"/>
    </xf>
    <xf numFmtId="0" fontId="0" fillId="0" borderId="24" xfId="0" applyBorder="1" applyAlignment="1">
      <alignment vertical="center" wrapText="1"/>
    </xf>
    <xf numFmtId="0" fontId="1" fillId="2" borderId="46" xfId="0" applyFont="1" applyFill="1" applyBorder="1" applyAlignment="1">
      <alignment horizontal="center" wrapText="1"/>
    </xf>
    <xf numFmtId="0" fontId="1" fillId="2" borderId="7" xfId="0" applyFont="1" applyFill="1" applyBorder="1" applyAlignment="1">
      <alignment horizontal="center" wrapText="1"/>
    </xf>
    <xf numFmtId="0" fontId="3" fillId="4" borderId="1" xfId="0" applyFont="1" applyFill="1" applyBorder="1" applyAlignment="1">
      <alignment horizontal="center" wrapText="1"/>
    </xf>
    <xf numFmtId="0" fontId="3" fillId="4" borderId="2" xfId="0" applyFont="1" applyFill="1" applyBorder="1" applyAlignment="1">
      <alignment horizontal="center" wrapText="1"/>
    </xf>
    <xf numFmtId="0" fontId="1" fillId="2" borderId="36" xfId="0" applyFont="1" applyFill="1" applyBorder="1" applyAlignment="1">
      <alignment horizontal="center" wrapText="1"/>
    </xf>
    <xf numFmtId="0" fontId="1" fillId="2" borderId="29" xfId="0" applyFont="1" applyFill="1" applyBorder="1" applyAlignment="1">
      <alignment horizontal="center" wrapText="1"/>
    </xf>
    <xf numFmtId="0" fontId="1" fillId="2" borderId="30" xfId="0" applyFont="1" applyFill="1" applyBorder="1" applyAlignment="1">
      <alignment horizontal="center" wrapText="1"/>
    </xf>
    <xf numFmtId="0" fontId="1" fillId="3" borderId="36" xfId="0" applyFont="1" applyFill="1" applyBorder="1" applyAlignment="1">
      <alignment horizontal="center" wrapText="1"/>
    </xf>
    <xf numFmtId="0" fontId="1" fillId="3" borderId="1" xfId="0" applyFont="1" applyFill="1" applyBorder="1" applyAlignment="1">
      <alignment horizontal="center" wrapText="1"/>
    </xf>
    <xf numFmtId="0" fontId="1" fillId="2" borderId="37" xfId="0" applyFont="1" applyFill="1" applyBorder="1" applyAlignment="1">
      <alignment horizontal="center" wrapText="1"/>
    </xf>
    <xf numFmtId="0" fontId="0" fillId="0" borderId="3" xfId="0" applyBorder="1" applyAlignment="1">
      <alignment wrapText="1"/>
    </xf>
    <xf numFmtId="0" fontId="0" fillId="0" borderId="31" xfId="0" applyBorder="1" applyAlignment="1">
      <alignment wrapText="1"/>
    </xf>
    <xf numFmtId="0" fontId="0" fillId="3" borderId="15" xfId="0" applyFill="1" applyBorder="1" applyAlignment="1">
      <alignment horizontal="center" wrapText="1"/>
    </xf>
    <xf numFmtId="0" fontId="0" fillId="3" borderId="3" xfId="0" applyFill="1" applyBorder="1" applyAlignment="1">
      <alignment horizontal="center" wrapText="1"/>
    </xf>
    <xf numFmtId="0" fontId="0" fillId="3" borderId="31" xfId="0" applyFill="1" applyBorder="1" applyAlignment="1">
      <alignment horizontal="center" wrapText="1"/>
    </xf>
    <xf numFmtId="0" fontId="0" fillId="0" borderId="0" xfId="0" applyFill="1" applyBorder="1" applyAlignment="1">
      <alignment horizontal="center" wrapText="1"/>
    </xf>
    <xf numFmtId="0" fontId="0" fillId="2" borderId="44" xfId="0" applyFill="1" applyBorder="1" applyAlignment="1">
      <alignment horizontal="center" wrapText="1"/>
    </xf>
    <xf numFmtId="0" fontId="0" fillId="2" borderId="45" xfId="0" applyFill="1" applyBorder="1" applyAlignment="1">
      <alignment horizontal="center" wrapText="1"/>
    </xf>
    <xf numFmtId="0" fontId="0" fillId="3" borderId="42" xfId="0" applyFill="1" applyBorder="1" applyAlignment="1">
      <alignment horizontal="center" wrapText="1"/>
    </xf>
    <xf numFmtId="0" fontId="0" fillId="3" borderId="43" xfId="0" applyFill="1" applyBorder="1" applyAlignment="1">
      <alignment horizontal="center" wrapText="1"/>
    </xf>
    <xf numFmtId="0" fontId="0" fillId="3" borderId="41" xfId="0" applyFill="1" applyBorder="1" applyAlignment="1">
      <alignment horizontal="center" wrapText="1"/>
    </xf>
    <xf numFmtId="0" fontId="0" fillId="0" borderId="15" xfId="0" applyBorder="1" applyAlignment="1">
      <alignment vertical="center" wrapText="1"/>
    </xf>
    <xf numFmtId="0" fontId="0" fillId="0" borderId="8" xfId="0" applyBorder="1" applyAlignment="1">
      <alignment wrapText="1"/>
    </xf>
    <xf numFmtId="0" fontId="0" fillId="0" borderId="28" xfId="0" applyBorder="1" applyAlignment="1">
      <alignment wrapText="1"/>
    </xf>
    <xf numFmtId="0" fontId="0" fillId="0" borderId="3" xfId="0" applyBorder="1" applyAlignment="1">
      <alignment vertical="center" wrapText="1"/>
    </xf>
    <xf numFmtId="0" fontId="0" fillId="0" borderId="31" xfId="0" applyBorder="1" applyAlignment="1">
      <alignment vertical="center" wrapText="1"/>
    </xf>
    <xf numFmtId="0" fontId="0" fillId="0" borderId="8" xfId="0" applyBorder="1" applyAlignment="1">
      <alignment vertical="center" wrapText="1"/>
    </xf>
    <xf numFmtId="0" fontId="0" fillId="0" borderId="28" xfId="0" applyBorder="1" applyAlignment="1">
      <alignment vertical="center" wrapText="1"/>
    </xf>
    <xf numFmtId="0" fontId="0" fillId="0" borderId="23" xfId="0" applyBorder="1" applyAlignment="1">
      <alignment vertical="center" wrapText="1"/>
    </xf>
    <xf numFmtId="0" fontId="0" fillId="0" borderId="25" xfId="0" applyBorder="1" applyAlignment="1">
      <alignment vertical="center" wrapText="1"/>
    </xf>
    <xf numFmtId="0" fontId="0" fillId="3" borderId="8" xfId="0" applyFill="1" applyBorder="1" applyAlignment="1">
      <alignment horizontal="center" wrapText="1"/>
    </xf>
    <xf numFmtId="0" fontId="0" fillId="3" borderId="0" xfId="0" applyFill="1" applyBorder="1" applyAlignment="1">
      <alignment horizontal="center" wrapText="1"/>
    </xf>
    <xf numFmtId="169" fontId="0" fillId="3" borderId="15" xfId="0" applyNumberFormat="1" applyFill="1" applyBorder="1" applyAlignment="1">
      <alignment horizontal="center" wrapText="1"/>
    </xf>
    <xf numFmtId="169" fontId="0" fillId="3" borderId="3" xfId="0" applyNumberFormat="1" applyFill="1" applyBorder="1" applyAlignment="1">
      <alignment horizontal="center" wrapText="1"/>
    </xf>
    <xf numFmtId="169" fontId="0" fillId="3" borderId="31" xfId="0" applyNumberFormat="1" applyFill="1" applyBorder="1" applyAlignment="1">
      <alignment wrapText="1"/>
    </xf>
    <xf numFmtId="0" fontId="0" fillId="2" borderId="42" xfId="0" applyFill="1" applyBorder="1" applyAlignment="1">
      <alignment horizontal="center"/>
    </xf>
    <xf numFmtId="0" fontId="0" fillId="2" borderId="43" xfId="0" applyFill="1" applyBorder="1" applyAlignment="1">
      <alignment horizontal="center"/>
    </xf>
    <xf numFmtId="0" fontId="0" fillId="2" borderId="41" xfId="0" applyFill="1" applyBorder="1" applyAlignment="1">
      <alignment horizontal="center"/>
    </xf>
    <xf numFmtId="0" fontId="0" fillId="3" borderId="31" xfId="0" applyFill="1" applyBorder="1" applyAlignment="1">
      <alignment wrapText="1"/>
    </xf>
    <xf numFmtId="169" fontId="0" fillId="5" borderId="8" xfId="0" applyNumberFormat="1" applyFill="1" applyBorder="1"/>
    <xf numFmtId="169" fontId="0" fillId="5" borderId="0" xfId="0" applyNumberFormat="1" applyFill="1" applyBorder="1"/>
    <xf numFmtId="169" fontId="0" fillId="5" borderId="28" xfId="0" applyNumberFormat="1" applyFill="1" applyBorder="1"/>
    <xf numFmtId="169" fontId="0" fillId="5" borderId="23" xfId="0" applyNumberFormat="1" applyFill="1" applyBorder="1"/>
    <xf numFmtId="169" fontId="0" fillId="5" borderId="24" xfId="0" applyNumberFormat="1" applyFill="1" applyBorder="1"/>
    <xf numFmtId="169" fontId="0" fillId="5" borderId="25" xfId="0" applyNumberFormat="1" applyFill="1" applyBorder="1"/>
  </cellXfs>
  <cellStyles count="1">
    <cellStyle name="Normal" xfId="0" builtinId="0"/>
  </cellStyles>
  <dxfs count="7">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I23"/>
  <sheetViews>
    <sheetView workbookViewId="0">
      <selection activeCell="C2" sqref="C2"/>
    </sheetView>
  </sheetViews>
  <sheetFormatPr defaultRowHeight="13.2"/>
  <cols>
    <col min="1" max="1" width="77.33203125" style="11" customWidth="1"/>
    <col min="2" max="2" width="52.33203125" customWidth="1"/>
  </cols>
  <sheetData>
    <row r="1" spans="1:2" ht="204" customHeight="1">
      <c r="A1" s="86" t="s">
        <v>47</v>
      </c>
      <c r="B1" s="87"/>
    </row>
    <row r="2" spans="1:2" ht="8.4" customHeight="1" thickBot="1">
      <c r="A2" s="89"/>
      <c r="B2" s="90"/>
    </row>
    <row r="3" spans="1:2" ht="14.4" customHeight="1" thickTop="1">
      <c r="A3" s="56" t="s">
        <v>5</v>
      </c>
      <c r="B3" s="54"/>
    </row>
    <row r="4" spans="1:2" ht="14.4" customHeight="1">
      <c r="A4" s="33" t="s">
        <v>6</v>
      </c>
      <c r="B4" s="55"/>
    </row>
    <row r="5" spans="1:2" ht="14.4" customHeight="1">
      <c r="A5" s="33" t="s">
        <v>7</v>
      </c>
      <c r="B5" s="55"/>
    </row>
    <row r="6" spans="1:2" ht="14.4" customHeight="1">
      <c r="A6" s="33" t="s">
        <v>8</v>
      </c>
      <c r="B6" s="55"/>
    </row>
    <row r="7" spans="1:2" ht="14.4" customHeight="1">
      <c r="A7" s="33" t="s">
        <v>9</v>
      </c>
      <c r="B7" s="55"/>
    </row>
    <row r="8" spans="1:2" ht="14.4" customHeight="1">
      <c r="A8" s="33" t="s">
        <v>10</v>
      </c>
      <c r="B8" s="55"/>
    </row>
    <row r="9" spans="1:2" ht="14.4" customHeight="1">
      <c r="A9" s="33" t="s">
        <v>11</v>
      </c>
      <c r="B9" s="55" t="s">
        <v>31</v>
      </c>
    </row>
    <row r="10" spans="1:2" ht="14.4" customHeight="1">
      <c r="A10" s="33" t="s">
        <v>19</v>
      </c>
      <c r="B10" s="55" t="s">
        <v>30</v>
      </c>
    </row>
    <row r="11" spans="1:2" ht="14.4" customHeight="1">
      <c r="A11" s="33" t="s">
        <v>33</v>
      </c>
      <c r="B11" s="55" t="s">
        <v>32</v>
      </c>
    </row>
    <row r="12" spans="1:2" ht="14.4" customHeight="1">
      <c r="A12" s="33" t="s">
        <v>38</v>
      </c>
      <c r="B12" s="55" t="s">
        <v>40</v>
      </c>
    </row>
    <row r="13" spans="1:2" ht="14.4" customHeight="1">
      <c r="A13" s="33" t="s">
        <v>42</v>
      </c>
      <c r="B13" s="55" t="s">
        <v>39</v>
      </c>
    </row>
    <row r="14" spans="1:2" ht="14.4" customHeight="1">
      <c r="A14" s="33" t="s">
        <v>43</v>
      </c>
      <c r="B14" s="55" t="s">
        <v>40</v>
      </c>
    </row>
    <row r="15" spans="1:2" ht="14.4" customHeight="1">
      <c r="A15" s="33" t="s">
        <v>44</v>
      </c>
      <c r="B15" s="55" t="s">
        <v>41</v>
      </c>
    </row>
    <row r="16" spans="1:2" ht="26.4" customHeight="1">
      <c r="A16" s="33" t="s">
        <v>36</v>
      </c>
      <c r="B16" s="55" t="s">
        <v>35</v>
      </c>
    </row>
    <row r="17" spans="1:9" ht="26.4" customHeight="1">
      <c r="A17" s="74" t="s">
        <v>45</v>
      </c>
      <c r="B17" s="55" t="s">
        <v>46</v>
      </c>
    </row>
    <row r="18" spans="1:9" ht="14.4" customHeight="1">
      <c r="A18" s="74" t="s">
        <v>62</v>
      </c>
      <c r="B18" s="55"/>
    </row>
    <row r="19" spans="1:9" ht="26.4" customHeight="1" thickBot="1">
      <c r="A19" s="74" t="s">
        <v>60</v>
      </c>
      <c r="B19" s="75" t="s">
        <v>61</v>
      </c>
    </row>
    <row r="20" spans="1:9" ht="7.2" customHeight="1" thickTop="1">
      <c r="A20" s="91"/>
      <c r="B20" s="92"/>
    </row>
    <row r="21" spans="1:9" ht="19.95" customHeight="1">
      <c r="A21" s="88" t="s">
        <v>59</v>
      </c>
      <c r="B21" s="87"/>
    </row>
    <row r="22" spans="1:9" ht="8.4" customHeight="1" thickBot="1">
      <c r="A22" s="86"/>
      <c r="B22" s="87"/>
    </row>
    <row r="23" spans="1:9" s="3" customFormat="1" ht="87" customHeight="1" thickBot="1">
      <c r="A23" s="53" t="s">
        <v>34</v>
      </c>
      <c r="B23" s="51"/>
      <c r="C23" s="51"/>
      <c r="D23" s="51"/>
      <c r="E23" s="51"/>
      <c r="F23" s="51"/>
      <c r="G23" s="51"/>
      <c r="H23" s="51"/>
      <c r="I23" s="52"/>
    </row>
  </sheetData>
  <mergeCells count="5">
    <mergeCell ref="A22:B22"/>
    <mergeCell ref="A1:B1"/>
    <mergeCell ref="A21:B21"/>
    <mergeCell ref="A2:B2"/>
    <mergeCell ref="A20:B20"/>
  </mergeCells>
  <phoneticPr fontId="0" type="noConversion"/>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I9"/>
  <sheetViews>
    <sheetView workbookViewId="0">
      <selection activeCell="B3" sqref="B3"/>
    </sheetView>
  </sheetViews>
  <sheetFormatPr defaultRowHeight="13.2"/>
  <cols>
    <col min="1" max="9" width="7.6640625" customWidth="1"/>
  </cols>
  <sheetData>
    <row r="1" spans="1:9">
      <c r="A1" s="93" t="s">
        <v>12</v>
      </c>
      <c r="B1" s="94"/>
      <c r="C1" s="94"/>
      <c r="D1" s="95" t="s">
        <v>13</v>
      </c>
      <c r="E1" s="94"/>
      <c r="F1" s="96"/>
      <c r="G1" s="97" t="s">
        <v>3</v>
      </c>
      <c r="H1" s="98"/>
      <c r="I1" s="99"/>
    </row>
    <row r="2" spans="1:9" ht="13.8" thickBot="1">
      <c r="A2" s="15" t="s">
        <v>0</v>
      </c>
      <c r="B2" s="16" t="s">
        <v>1</v>
      </c>
      <c r="C2" s="18" t="s">
        <v>2</v>
      </c>
      <c r="D2" s="17" t="s">
        <v>0</v>
      </c>
      <c r="E2" s="16" t="s">
        <v>1</v>
      </c>
      <c r="F2" s="18" t="s">
        <v>2</v>
      </c>
      <c r="G2" s="20" t="s">
        <v>0</v>
      </c>
      <c r="H2" s="19" t="s">
        <v>1</v>
      </c>
      <c r="I2" s="21" t="s">
        <v>2</v>
      </c>
    </row>
    <row r="3" spans="1:9" ht="13.8" thickTop="1">
      <c r="A3" s="8">
        <v>0.8</v>
      </c>
      <c r="B3" s="9">
        <v>0.5</v>
      </c>
      <c r="C3" s="9">
        <v>0</v>
      </c>
      <c r="D3" s="8">
        <v>0</v>
      </c>
      <c r="E3" s="9">
        <v>0.70699999999999996</v>
      </c>
      <c r="F3" s="9">
        <v>0.70699999999999996</v>
      </c>
      <c r="G3" s="4">
        <f t="array" ref="G3:I3">VUnitCross(A3:C3,D3:F3)</f>
        <v>0.4042260417272216</v>
      </c>
      <c r="H3" s="5">
        <v>-0.64676166676355462</v>
      </c>
      <c r="I3" s="6">
        <v>0.64676166676355462</v>
      </c>
    </row>
    <row r="4" spans="1:9">
      <c r="D4" s="1"/>
      <c r="E4" s="3"/>
      <c r="F4" s="2"/>
      <c r="G4" s="1"/>
      <c r="H4" s="3"/>
      <c r="I4" s="2"/>
    </row>
    <row r="5" spans="1:9">
      <c r="D5" s="1"/>
      <c r="E5" s="3"/>
      <c r="F5" s="2"/>
      <c r="G5" s="1"/>
      <c r="H5" s="3"/>
      <c r="I5" s="2"/>
    </row>
    <row r="6" spans="1:9">
      <c r="D6" s="1"/>
      <c r="E6" s="3"/>
      <c r="F6" s="2"/>
      <c r="G6" s="1"/>
      <c r="H6" s="3"/>
      <c r="I6" s="2"/>
    </row>
    <row r="7" spans="1:9">
      <c r="D7" s="1"/>
      <c r="E7" s="3"/>
      <c r="F7" s="2"/>
      <c r="G7" s="1"/>
      <c r="H7" s="3"/>
      <c r="I7" s="2"/>
    </row>
    <row r="8" spans="1:9">
      <c r="D8" s="1"/>
      <c r="E8" s="3"/>
      <c r="F8" s="2"/>
      <c r="G8" s="1"/>
      <c r="H8" s="3"/>
      <c r="I8" s="2"/>
    </row>
    <row r="9" spans="1:9">
      <c r="D9" s="1"/>
      <c r="E9" s="3"/>
      <c r="F9" s="2"/>
      <c r="G9" s="1"/>
      <c r="H9" s="3"/>
      <c r="I9" s="2"/>
    </row>
  </sheetData>
  <mergeCells count="3">
    <mergeCell ref="A1:C1"/>
    <mergeCell ref="D1:F1"/>
    <mergeCell ref="G1:I1"/>
  </mergeCells>
  <phoneticPr fontId="0" type="noConversion"/>
  <conditionalFormatting sqref="A3:C3">
    <cfRule type="expression" dxfId="6" priority="1" stopIfTrue="1">
      <formula>ABS(1-VAbs($A3:$C3))&gt;0.001</formula>
    </cfRule>
  </conditionalFormatting>
  <conditionalFormatting sqref="D3:F3">
    <cfRule type="expression" dxfId="5" priority="2" stopIfTrue="1">
      <formula>ABS(1-VAbs($D3:$F3))&gt;0.001</formula>
    </cfRule>
  </conditionalFormatting>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sheetPr codeName="Sheet2"/>
  <dimension ref="A1:G9"/>
  <sheetViews>
    <sheetView workbookViewId="0">
      <selection activeCell="A3" sqref="A3"/>
    </sheetView>
  </sheetViews>
  <sheetFormatPr defaultRowHeight="13.2"/>
  <cols>
    <col min="1" max="6" width="7.6640625" customWidth="1"/>
    <col min="7" max="7" width="8.6640625" customWidth="1"/>
  </cols>
  <sheetData>
    <row r="1" spans="1:7" ht="12.75" customHeight="1">
      <c r="A1" s="93" t="s">
        <v>12</v>
      </c>
      <c r="B1" s="94"/>
      <c r="C1" s="94"/>
      <c r="D1" s="95" t="s">
        <v>13</v>
      </c>
      <c r="E1" s="94"/>
      <c r="F1" s="96"/>
      <c r="G1" s="100" t="s">
        <v>4</v>
      </c>
    </row>
    <row r="2" spans="1:7" ht="13.8" thickBot="1">
      <c r="A2" s="50" t="s">
        <v>0</v>
      </c>
      <c r="B2" s="37" t="s">
        <v>1</v>
      </c>
      <c r="C2" s="38" t="s">
        <v>2</v>
      </c>
      <c r="D2" s="36" t="s">
        <v>0</v>
      </c>
      <c r="E2" s="37" t="s">
        <v>1</v>
      </c>
      <c r="F2" s="38" t="s">
        <v>2</v>
      </c>
      <c r="G2" s="100"/>
    </row>
    <row r="3" spans="1:7" ht="13.8" thickTop="1">
      <c r="A3" s="8">
        <v>0.8</v>
      </c>
      <c r="B3" s="9">
        <v>0.5</v>
      </c>
      <c r="C3" s="9">
        <v>0</v>
      </c>
      <c r="D3" s="8">
        <v>0</v>
      </c>
      <c r="E3" s="9">
        <v>0.70699999999999996</v>
      </c>
      <c r="F3" s="9">
        <v>0.70699999999999996</v>
      </c>
      <c r="G3" s="10">
        <f>VDot(A3:C3,D3:F3)</f>
        <v>0.35349999999999998</v>
      </c>
    </row>
    <row r="4" spans="1:7">
      <c r="A4" s="13"/>
      <c r="B4" s="5"/>
      <c r="C4" s="5"/>
      <c r="D4" s="4"/>
      <c r="E4" s="7"/>
      <c r="F4" s="6"/>
      <c r="G4" s="12"/>
    </row>
    <row r="5" spans="1:7">
      <c r="A5" s="13"/>
      <c r="B5" s="5"/>
      <c r="C5" s="5"/>
      <c r="D5" s="4"/>
      <c r="E5" s="7"/>
      <c r="F5" s="6"/>
      <c r="G5" s="12"/>
    </row>
    <row r="6" spans="1:7">
      <c r="A6" s="13"/>
      <c r="B6" s="5"/>
      <c r="C6" s="5"/>
      <c r="D6" s="4"/>
      <c r="E6" s="7"/>
      <c r="F6" s="6"/>
      <c r="G6" s="12"/>
    </row>
    <row r="7" spans="1:7">
      <c r="A7" s="13"/>
      <c r="B7" s="5"/>
      <c r="C7" s="5"/>
      <c r="D7" s="4"/>
      <c r="E7" s="7"/>
      <c r="F7" s="6"/>
      <c r="G7" s="12"/>
    </row>
    <row r="8" spans="1:7">
      <c r="A8" s="13"/>
      <c r="B8" s="5"/>
      <c r="C8" s="5"/>
      <c r="D8" s="4"/>
      <c r="E8" s="7"/>
      <c r="F8" s="6"/>
      <c r="G8" s="12"/>
    </row>
    <row r="9" spans="1:7">
      <c r="A9" s="13"/>
      <c r="B9" s="5"/>
      <c r="C9" s="5"/>
      <c r="D9" s="4"/>
      <c r="E9" s="7"/>
      <c r="F9" s="6"/>
      <c r="G9" s="12"/>
    </row>
  </sheetData>
  <mergeCells count="3">
    <mergeCell ref="A1:C1"/>
    <mergeCell ref="D1:F1"/>
    <mergeCell ref="G1:G2"/>
  </mergeCells>
  <phoneticPr fontId="0" type="noConversion"/>
  <conditionalFormatting sqref="A3:C3">
    <cfRule type="expression" dxfId="4" priority="1" stopIfTrue="1">
      <formula>ABS(1-VAbs($A3:$C3))&gt;0.001</formula>
    </cfRule>
  </conditionalFormatting>
  <conditionalFormatting sqref="D3:F3">
    <cfRule type="expression" dxfId="3" priority="2" stopIfTrue="1">
      <formula>ABS(1-VAbs($D3:$F3))&gt;0.001</formula>
    </cfRule>
  </conditionalFormatting>
  <pageMargins left="0.75" right="0.75" top="1" bottom="1" header="0.5" footer="0.5"/>
  <pageSetup orientation="portrait" verticalDpi="0" r:id="rId1"/>
  <headerFooter alignWithMargins="0"/>
</worksheet>
</file>

<file path=xl/worksheets/sheet4.xml><?xml version="1.0" encoding="utf-8"?>
<worksheet xmlns="http://schemas.openxmlformats.org/spreadsheetml/2006/main" xmlns:r="http://schemas.openxmlformats.org/officeDocument/2006/relationships">
  <sheetPr codeName="Sheet5"/>
  <dimension ref="A1:E9"/>
  <sheetViews>
    <sheetView workbookViewId="0">
      <selection activeCell="E3" sqref="E3"/>
    </sheetView>
  </sheetViews>
  <sheetFormatPr defaultRowHeight="13.2"/>
  <cols>
    <col min="1" max="5" width="7.6640625" customWidth="1"/>
  </cols>
  <sheetData>
    <row r="1" spans="1:5" ht="26.4" customHeight="1">
      <c r="A1" s="93" t="s">
        <v>29</v>
      </c>
      <c r="B1" s="94"/>
      <c r="C1" s="94"/>
      <c r="D1" s="100" t="s">
        <v>18</v>
      </c>
      <c r="E1" s="100" t="s">
        <v>37</v>
      </c>
    </row>
    <row r="2" spans="1:5" ht="13.8" thickBot="1">
      <c r="A2" s="50" t="s">
        <v>0</v>
      </c>
      <c r="B2" s="37" t="s">
        <v>1</v>
      </c>
      <c r="C2" s="38" t="s">
        <v>2</v>
      </c>
      <c r="D2" s="100"/>
      <c r="E2" s="100"/>
    </row>
    <row r="3" spans="1:5" ht="13.8" thickTop="1">
      <c r="A3" s="8">
        <v>0.8</v>
      </c>
      <c r="B3" s="9">
        <v>0.5</v>
      </c>
      <c r="C3" s="9">
        <v>0</v>
      </c>
      <c r="D3" s="10">
        <f>VAbs(A3:C3)</f>
        <v>0.94339811320566047</v>
      </c>
      <c r="E3" s="10">
        <f>SQRT(A3^2+B3^2+C3^2)</f>
        <v>0.94339811320566047</v>
      </c>
    </row>
    <row r="4" spans="1:5">
      <c r="A4" s="23">
        <v>1</v>
      </c>
      <c r="B4" s="24">
        <v>0</v>
      </c>
      <c r="C4" s="25">
        <v>1E-3</v>
      </c>
      <c r="D4" s="12">
        <f>VAbs(A4:C4)</f>
        <v>1.0000004999998751</v>
      </c>
      <c r="E4" s="12">
        <f>SQRT(A4^2+B4^2+C4^2)</f>
        <v>1.0000004999998751</v>
      </c>
    </row>
    <row r="5" spans="1:5">
      <c r="A5" s="23">
        <v>1</v>
      </c>
      <c r="B5" s="24">
        <v>0</v>
      </c>
      <c r="C5" s="25">
        <v>1</v>
      </c>
      <c r="D5" s="12">
        <f>VAbs(A5:C5)</f>
        <v>1.4142135623730951</v>
      </c>
      <c r="E5" s="12">
        <f>SQRT(A5^2+B5^2+C5^2)</f>
        <v>1.4142135623730951</v>
      </c>
    </row>
    <row r="6" spans="1:5">
      <c r="A6" s="13">
        <v>0.8</v>
      </c>
      <c r="B6" s="5">
        <v>0.5</v>
      </c>
      <c r="C6" s="5">
        <v>0.33</v>
      </c>
      <c r="D6" s="12">
        <f>VAbs(A6:C6)</f>
        <v>0.99944984866675535</v>
      </c>
      <c r="E6" s="12">
        <f>SQRT(A6^2+B6^2+C6^2)</f>
        <v>0.99944984866675535</v>
      </c>
    </row>
    <row r="7" spans="1:5">
      <c r="A7" s="13"/>
      <c r="B7" s="5"/>
      <c r="C7" s="5"/>
      <c r="D7" s="12"/>
      <c r="E7" s="12"/>
    </row>
    <row r="8" spans="1:5">
      <c r="A8" s="13"/>
      <c r="B8" s="5"/>
      <c r="C8" s="5"/>
      <c r="D8" s="12"/>
      <c r="E8" s="12"/>
    </row>
    <row r="9" spans="1:5">
      <c r="A9" s="13"/>
      <c r="B9" s="5"/>
      <c r="C9" s="5"/>
      <c r="D9" s="12"/>
      <c r="E9" s="12"/>
    </row>
  </sheetData>
  <mergeCells count="3">
    <mergeCell ref="A1:C1"/>
    <mergeCell ref="D1:D2"/>
    <mergeCell ref="E1:E2"/>
  </mergeCells>
  <phoneticPr fontId="0" type="noConversion"/>
  <conditionalFormatting sqref="A3:C6">
    <cfRule type="expression" dxfId="2" priority="1" stopIfTrue="1">
      <formula>ABS(1-VAbs($A3:$C3))&gt;0.001</formula>
    </cfRule>
  </conditionalFormatting>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sheetPr codeName="Sheet4"/>
  <dimension ref="A1:Q10"/>
  <sheetViews>
    <sheetView workbookViewId="0">
      <selection activeCell="A4" sqref="A4"/>
    </sheetView>
  </sheetViews>
  <sheetFormatPr defaultRowHeight="13.2"/>
  <cols>
    <col min="1" max="3" width="8.109375" customWidth="1"/>
    <col min="4" max="6" width="7.6640625" customWidth="1"/>
    <col min="7" max="7" width="15.44140625" customWidth="1"/>
    <col min="8" max="9" width="10.6640625" customWidth="1"/>
    <col min="10" max="12" width="6.5546875" customWidth="1"/>
    <col min="13" max="13" width="4.6640625" customWidth="1"/>
    <col min="14" max="15" width="11.5546875" customWidth="1"/>
    <col min="16" max="17" width="13.44140625" customWidth="1"/>
    <col min="18" max="18" width="15.44140625" customWidth="1"/>
  </cols>
  <sheetData>
    <row r="1" spans="1:17" ht="109.5" customHeight="1" thickBot="1">
      <c r="A1" s="101" t="s">
        <v>28</v>
      </c>
      <c r="B1" s="101"/>
      <c r="C1" s="101"/>
      <c r="D1" s="101"/>
      <c r="E1" s="101"/>
      <c r="F1" s="101"/>
      <c r="G1" s="101"/>
      <c r="H1" s="101"/>
      <c r="I1" s="101"/>
      <c r="J1" s="101"/>
      <c r="K1" s="101"/>
      <c r="L1" s="101"/>
      <c r="M1" s="101"/>
      <c r="N1" s="101"/>
      <c r="O1" s="101"/>
      <c r="P1" s="101"/>
      <c r="Q1" s="101"/>
    </row>
    <row r="2" spans="1:17">
      <c r="A2" s="106" t="s">
        <v>20</v>
      </c>
      <c r="B2" s="107"/>
      <c r="C2" s="108"/>
      <c r="D2" s="106" t="s">
        <v>21</v>
      </c>
      <c r="E2" s="107"/>
      <c r="F2" s="108"/>
      <c r="G2" s="109" t="s">
        <v>17</v>
      </c>
      <c r="H2" s="111" t="s">
        <v>22</v>
      </c>
      <c r="I2" s="102" t="s">
        <v>23</v>
      </c>
      <c r="J2" s="97" t="s">
        <v>24</v>
      </c>
      <c r="K2" s="98"/>
      <c r="L2" s="99"/>
      <c r="N2" s="104" t="s">
        <v>25</v>
      </c>
      <c r="O2" s="105"/>
    </row>
    <row r="3" spans="1:17">
      <c r="A3" s="36" t="s">
        <v>0</v>
      </c>
      <c r="B3" s="37" t="s">
        <v>1</v>
      </c>
      <c r="C3" s="38" t="s">
        <v>2</v>
      </c>
      <c r="D3" s="36" t="s">
        <v>0</v>
      </c>
      <c r="E3" s="37" t="s">
        <v>1</v>
      </c>
      <c r="F3" s="38" t="s">
        <v>2</v>
      </c>
      <c r="G3" s="110"/>
      <c r="H3" s="103"/>
      <c r="I3" s="103"/>
      <c r="J3" s="39" t="s">
        <v>14</v>
      </c>
      <c r="K3" s="40" t="s">
        <v>15</v>
      </c>
      <c r="L3" s="41" t="s">
        <v>16</v>
      </c>
      <c r="N3" s="27" t="s">
        <v>26</v>
      </c>
      <c r="O3" s="28" t="s">
        <v>27</v>
      </c>
    </row>
    <row r="4" spans="1:17">
      <c r="A4" s="42">
        <v>0</v>
      </c>
      <c r="B4" s="43">
        <v>-0.996</v>
      </c>
      <c r="C4" s="43">
        <v>-8.8999999999999996E-2</v>
      </c>
      <c r="D4" s="44">
        <v>-0.98</v>
      </c>
      <c r="E4" s="43">
        <v>-0.191</v>
      </c>
      <c r="F4" s="45">
        <v>4.9000000000000002E-2</v>
      </c>
      <c r="G4" s="46">
        <f>DEGREES(AbsAngleBetweenVectors(A4:C4,D4:F4))</f>
        <v>79.283614137464724</v>
      </c>
      <c r="H4" s="47">
        <v>2</v>
      </c>
      <c r="I4" s="48">
        <v>3</v>
      </c>
      <c r="J4" s="49">
        <f t="array" ref="J4:L4">NTMIntersect(H4,A4:C4,I4,D4:F4)</f>
        <v>-2.6676616870816017</v>
      </c>
      <c r="K4" s="34">
        <v>-2.0079429152583121</v>
      </c>
      <c r="L4" s="35">
        <v>4.1734378964907798E-4</v>
      </c>
      <c r="N4" s="29">
        <f>VDot(A4:C4,J4:L4)</f>
        <v>1.9998740000000002</v>
      </c>
      <c r="O4" s="30">
        <f>VDot(D4:F4,J4:L4)</f>
        <v>2.997846</v>
      </c>
    </row>
    <row r="5" spans="1:17">
      <c r="A5" s="14"/>
      <c r="B5" s="3"/>
      <c r="C5" s="3"/>
      <c r="D5" s="1"/>
      <c r="E5" s="3"/>
      <c r="F5" s="2"/>
      <c r="H5" s="22"/>
      <c r="I5" s="3"/>
      <c r="J5" s="1"/>
      <c r="K5" s="3"/>
      <c r="L5" s="2"/>
      <c r="N5" s="31"/>
      <c r="O5" s="32"/>
    </row>
    <row r="6" spans="1:17">
      <c r="A6" s="14"/>
      <c r="B6" s="3"/>
      <c r="C6" s="3"/>
      <c r="D6" s="1"/>
      <c r="E6" s="3"/>
      <c r="F6" s="2"/>
      <c r="H6" s="22"/>
      <c r="I6" s="3"/>
      <c r="J6" s="1"/>
      <c r="K6" s="3"/>
      <c r="L6" s="2"/>
      <c r="N6" s="31"/>
      <c r="O6" s="32"/>
    </row>
    <row r="7" spans="1:17">
      <c r="A7" s="14"/>
      <c r="B7" s="3"/>
      <c r="C7" s="3"/>
      <c r="D7" s="1"/>
      <c r="E7" s="3"/>
      <c r="F7" s="2"/>
      <c r="H7" s="22"/>
      <c r="I7" s="3"/>
      <c r="J7" s="1"/>
      <c r="K7" s="3"/>
      <c r="L7" s="2"/>
      <c r="N7" s="31"/>
      <c r="O7" s="32"/>
    </row>
    <row r="8" spans="1:17">
      <c r="A8" s="14"/>
      <c r="B8" s="3"/>
      <c r="C8" s="3"/>
      <c r="D8" s="1"/>
      <c r="E8" s="3"/>
      <c r="F8" s="2"/>
      <c r="H8" s="22"/>
      <c r="I8" s="3"/>
      <c r="J8" s="26"/>
      <c r="K8" s="3"/>
      <c r="L8" s="2"/>
      <c r="N8" s="31"/>
      <c r="O8" s="32"/>
    </row>
    <row r="9" spans="1:17">
      <c r="A9" s="14"/>
      <c r="B9" s="3"/>
      <c r="C9" s="3"/>
      <c r="D9" s="1"/>
      <c r="E9" s="3"/>
      <c r="F9" s="2"/>
      <c r="H9" s="22"/>
      <c r="I9" s="3"/>
      <c r="J9" s="1"/>
      <c r="K9" s="3"/>
      <c r="L9" s="2"/>
      <c r="N9" s="31"/>
      <c r="O9" s="32"/>
    </row>
    <row r="10" spans="1:17">
      <c r="A10" s="14"/>
      <c r="B10" s="3"/>
      <c r="C10" s="3"/>
      <c r="D10" s="1"/>
      <c r="E10" s="3"/>
      <c r="F10" s="2"/>
      <c r="H10" s="22"/>
      <c r="I10" s="3"/>
      <c r="J10" s="1"/>
      <c r="K10" s="3"/>
      <c r="L10" s="2"/>
      <c r="N10" s="31"/>
      <c r="O10" s="32"/>
    </row>
  </sheetData>
  <mergeCells count="8">
    <mergeCell ref="A1:Q1"/>
    <mergeCell ref="I2:I3"/>
    <mergeCell ref="J2:L2"/>
    <mergeCell ref="N2:O2"/>
    <mergeCell ref="A2:C2"/>
    <mergeCell ref="D2:F2"/>
    <mergeCell ref="G2:G3"/>
    <mergeCell ref="H2:H3"/>
  </mergeCells>
  <phoneticPr fontId="0" type="noConversion"/>
  <conditionalFormatting sqref="D4:F4 H4:I4">
    <cfRule type="expression" dxfId="1" priority="1" stopIfTrue="1">
      <formula>ABS(1-VAbs($D4:$F4))&gt;0.001</formula>
    </cfRule>
  </conditionalFormatting>
  <conditionalFormatting sqref="A4:C4">
    <cfRule type="expression" dxfId="0" priority="2" stopIfTrue="1">
      <formula>ABS(1-VAbs($A4:$C4))&gt;0.001</formula>
    </cfRule>
  </conditionalFormatting>
  <pageMargins left="0.75" right="0.75" top="1" bottom="1" header="0.5" footer="0.5"/>
  <pageSetup orientation="portrait" verticalDpi="0" r:id="rId1"/>
  <headerFooter alignWithMargins="0"/>
</worksheet>
</file>

<file path=xl/worksheets/sheet6.xml><?xml version="1.0" encoding="utf-8"?>
<worksheet xmlns="http://schemas.openxmlformats.org/spreadsheetml/2006/main" xmlns:r="http://schemas.openxmlformats.org/officeDocument/2006/relationships">
  <sheetPr codeName="Sheet12"/>
  <dimension ref="A1:W47"/>
  <sheetViews>
    <sheetView tabSelected="1" topLeftCell="A3" workbookViewId="0">
      <selection activeCell="I18" sqref="I18:L21"/>
    </sheetView>
  </sheetViews>
  <sheetFormatPr defaultRowHeight="13.2"/>
  <cols>
    <col min="2" max="4" width="10.5546875" bestFit="1" customWidth="1"/>
    <col min="5" max="5" width="2.44140625" customWidth="1"/>
    <col min="6" max="8" width="10.5546875" bestFit="1" customWidth="1"/>
    <col min="9" max="11" width="9.6640625" bestFit="1" customWidth="1"/>
    <col min="12" max="12" width="10.109375" bestFit="1" customWidth="1"/>
    <col min="13" max="13" width="3.44140625" customWidth="1"/>
    <col min="14" max="16" width="9.33203125" customWidth="1"/>
    <col min="17" max="20" width="9.6640625" customWidth="1"/>
  </cols>
  <sheetData>
    <row r="1" spans="1:16" ht="114" customHeight="1">
      <c r="A1" s="86" t="s">
        <v>63</v>
      </c>
      <c r="B1" s="86"/>
      <c r="C1" s="86"/>
      <c r="D1" s="86"/>
      <c r="E1" s="86"/>
      <c r="F1" s="86"/>
      <c r="G1" s="86"/>
      <c r="H1" s="86"/>
      <c r="I1" s="86"/>
      <c r="J1" s="86"/>
      <c r="K1" s="87"/>
      <c r="L1" s="87"/>
    </row>
    <row r="2" spans="1:16" ht="13.8" thickBot="1"/>
    <row r="3" spans="1:16" ht="13.8" thickBot="1">
      <c r="A3" s="118" t="s">
        <v>48</v>
      </c>
      <c r="B3" s="137" t="s">
        <v>49</v>
      </c>
      <c r="C3" s="138"/>
      <c r="D3" s="139"/>
      <c r="E3" s="63"/>
      <c r="F3" s="137" t="s">
        <v>50</v>
      </c>
      <c r="G3" s="138"/>
      <c r="H3" s="139"/>
      <c r="N3" s="120" t="s">
        <v>52</v>
      </c>
      <c r="O3" s="121"/>
      <c r="P3" s="122"/>
    </row>
    <row r="4" spans="1:16" s="63" customFormat="1" ht="13.8" thickBot="1">
      <c r="A4" s="119"/>
      <c r="B4" s="65" t="s">
        <v>14</v>
      </c>
      <c r="C4" s="66" t="s">
        <v>15</v>
      </c>
      <c r="D4" s="67" t="s">
        <v>16</v>
      </c>
      <c r="F4" s="65" t="s">
        <v>14</v>
      </c>
      <c r="G4" s="66" t="s">
        <v>15</v>
      </c>
      <c r="H4" s="67" t="s">
        <v>16</v>
      </c>
      <c r="N4" s="65" t="s">
        <v>14</v>
      </c>
      <c r="O4" s="66" t="s">
        <v>15</v>
      </c>
      <c r="P4" s="67" t="s">
        <v>16</v>
      </c>
    </row>
    <row r="5" spans="1:16" ht="13.2" customHeight="1">
      <c r="A5" s="64">
        <v>1</v>
      </c>
      <c r="B5" s="5">
        <v>7380.7374</v>
      </c>
      <c r="C5" s="5">
        <v>1501.7335</v>
      </c>
      <c r="D5" s="76">
        <v>2521.3319999999999</v>
      </c>
      <c r="E5" s="77"/>
      <c r="F5" s="13">
        <v>7380.9380000000001</v>
      </c>
      <c r="G5" s="5">
        <v>1501.1780000000001</v>
      </c>
      <c r="H5" s="76">
        <v>2520.5650000000001</v>
      </c>
      <c r="I5" s="123" t="s">
        <v>55</v>
      </c>
      <c r="J5" s="126"/>
      <c r="K5" s="126"/>
      <c r="L5" s="127"/>
      <c r="N5" s="13">
        <f t="shared" ref="N5:P7" si="0">I30-F5</f>
        <v>1.5054018058435759E-2</v>
      </c>
      <c r="O5" s="5">
        <f t="shared" si="0"/>
        <v>-0.30089974774728034</v>
      </c>
      <c r="P5" s="76">
        <f t="shared" si="0"/>
        <v>0.15601170412901411</v>
      </c>
    </row>
    <row r="6" spans="1:16">
      <c r="A6" s="64">
        <v>2</v>
      </c>
      <c r="B6" s="5">
        <v>7375.5727000000006</v>
      </c>
      <c r="C6" s="5">
        <v>1563.7793000000001</v>
      </c>
      <c r="D6" s="76">
        <v>2321.3217</v>
      </c>
      <c r="E6" s="77"/>
      <c r="F6" s="13">
        <v>7376.1370000000006</v>
      </c>
      <c r="G6" s="5">
        <v>1563.133</v>
      </c>
      <c r="H6" s="76">
        <v>2321.348</v>
      </c>
      <c r="I6" s="128"/>
      <c r="J6" s="86"/>
      <c r="K6" s="86"/>
      <c r="L6" s="129"/>
      <c r="N6" s="13">
        <f t="shared" si="0"/>
        <v>-9.1696021128882421E-2</v>
      </c>
      <c r="O6" s="5">
        <f t="shared" si="0"/>
        <v>-0.19992216121181627</v>
      </c>
      <c r="P6" s="76">
        <f t="shared" si="0"/>
        <v>-0.64060074550434365</v>
      </c>
    </row>
    <row r="7" spans="1:16" ht="13.8" thickBot="1">
      <c r="A7" s="64">
        <v>3</v>
      </c>
      <c r="B7" s="5">
        <v>7377.1538</v>
      </c>
      <c r="C7" s="5">
        <v>1407.7738000000002</v>
      </c>
      <c r="D7" s="76">
        <v>1969.9304999999999</v>
      </c>
      <c r="E7" s="77"/>
      <c r="F7" s="13">
        <v>7377.3339999999998</v>
      </c>
      <c r="G7" s="5">
        <v>1406.72</v>
      </c>
      <c r="H7" s="76">
        <v>1969.3140000000001</v>
      </c>
      <c r="I7" s="130"/>
      <c r="J7" s="101"/>
      <c r="K7" s="101"/>
      <c r="L7" s="131"/>
      <c r="N7" s="13">
        <f t="shared" si="0"/>
        <v>2.3572436372887751E-2</v>
      </c>
      <c r="O7" s="5">
        <f t="shared" si="0"/>
        <v>0.19748094661008508</v>
      </c>
      <c r="P7" s="76">
        <f t="shared" si="0"/>
        <v>5.575300999907995E-3</v>
      </c>
    </row>
    <row r="8" spans="1:16" ht="13.2" customHeight="1">
      <c r="A8" s="64">
        <v>4</v>
      </c>
      <c r="B8" s="5">
        <v>7379.5856000000003</v>
      </c>
      <c r="C8" s="5">
        <v>1349.9106000000002</v>
      </c>
      <c r="D8" s="76">
        <v>2596.5414999999998</v>
      </c>
      <c r="E8" s="77"/>
      <c r="F8" s="13">
        <v>7379.4989999999998</v>
      </c>
      <c r="G8" s="5">
        <v>1348.9970000000001</v>
      </c>
      <c r="H8" s="76">
        <v>2596.127</v>
      </c>
      <c r="I8" s="123" t="s">
        <v>56</v>
      </c>
      <c r="J8" s="112"/>
      <c r="K8" s="112"/>
      <c r="L8" s="113"/>
      <c r="N8" s="13">
        <f>IF(NOT(ISBLANK(B8)),I33-F8,"")</f>
        <v>-0.14355505695675674</v>
      </c>
      <c r="O8" s="5">
        <f>IF(NOT(ISBLANK(B8)),J33-G8,"")</f>
        <v>6.225586254299742E-2</v>
      </c>
      <c r="P8" s="76">
        <f>IF(NOT(ISBLANK(B8)),K33-H8,"")</f>
        <v>-0.19443155087810737</v>
      </c>
    </row>
    <row r="9" spans="1:16">
      <c r="A9" s="64">
        <v>5</v>
      </c>
      <c r="B9" s="5">
        <v>7377.4213</v>
      </c>
      <c r="C9" s="5">
        <v>1404.7823000000001</v>
      </c>
      <c r="D9" s="76">
        <v>2569.1975000000002</v>
      </c>
      <c r="E9" s="77"/>
      <c r="F9" s="13">
        <v>7377.2390000000005</v>
      </c>
      <c r="G9" s="5">
        <v>1403.701</v>
      </c>
      <c r="H9" s="76">
        <v>2568.3440000000001</v>
      </c>
      <c r="I9" s="124"/>
      <c r="J9" s="87"/>
      <c r="K9" s="87"/>
      <c r="L9" s="125"/>
      <c r="N9" s="13">
        <f t="shared" ref="N9:N16" si="1">IF(NOT(ISBLANK(B9)),I34-F9,"")</f>
        <v>0.11335011120900162</v>
      </c>
      <c r="O9" s="5">
        <f t="shared" ref="O9:O16" si="2">IF(NOT(ISBLANK(B9)),J34-G9,"")</f>
        <v>0.23513891771585804</v>
      </c>
      <c r="P9" s="76">
        <f t="shared" ref="P9:P16" si="3">IF(NOT(ISBLANK(B9)),K34-H9,"")</f>
        <v>0.24268560318751042</v>
      </c>
    </row>
    <row r="10" spans="1:16">
      <c r="A10" s="64">
        <v>6</v>
      </c>
      <c r="B10" s="5">
        <v>7378.9710999999998</v>
      </c>
      <c r="C10" s="5">
        <v>1458.653</v>
      </c>
      <c r="D10" s="76">
        <v>2542.6378</v>
      </c>
      <c r="E10" s="77"/>
      <c r="F10" s="13">
        <v>7378.9769999999999</v>
      </c>
      <c r="G10" s="5">
        <v>1457.796</v>
      </c>
      <c r="H10" s="76">
        <v>2541.596</v>
      </c>
      <c r="I10" s="124"/>
      <c r="J10" s="87"/>
      <c r="K10" s="87"/>
      <c r="L10" s="125"/>
      <c r="N10" s="13">
        <f t="shared" si="1"/>
        <v>8.3274512440766557E-2</v>
      </c>
      <c r="O10" s="5">
        <f t="shared" si="2"/>
        <v>5.9461820912929397E-3</v>
      </c>
      <c r="P10" s="76">
        <f t="shared" si="3"/>
        <v>0.43075968806442688</v>
      </c>
    </row>
    <row r="11" spans="1:16">
      <c r="A11" s="64">
        <v>7</v>
      </c>
      <c r="B11" s="5"/>
      <c r="C11" s="5"/>
      <c r="D11" s="76"/>
      <c r="E11" s="77"/>
      <c r="F11" s="13"/>
      <c r="G11" s="5"/>
      <c r="H11" s="76"/>
      <c r="I11" s="124"/>
      <c r="J11" s="87"/>
      <c r="K11" s="87"/>
      <c r="L11" s="125"/>
      <c r="N11" s="13" t="str">
        <f t="shared" si="1"/>
        <v/>
      </c>
      <c r="O11" s="5" t="str">
        <f t="shared" si="2"/>
        <v/>
      </c>
      <c r="P11" s="76" t="str">
        <f t="shared" si="3"/>
        <v/>
      </c>
    </row>
    <row r="12" spans="1:16">
      <c r="A12" s="64"/>
      <c r="B12" s="59"/>
      <c r="C12" s="59"/>
      <c r="D12" s="60"/>
      <c r="F12" s="58"/>
      <c r="G12" s="59"/>
      <c r="H12" s="60"/>
      <c r="I12" s="124"/>
      <c r="J12" s="87"/>
      <c r="K12" s="87"/>
      <c r="L12" s="125"/>
      <c r="N12" s="58" t="str">
        <f t="shared" si="1"/>
        <v/>
      </c>
      <c r="O12" s="59" t="str">
        <f t="shared" si="2"/>
        <v/>
      </c>
      <c r="P12" s="60" t="str">
        <f t="shared" si="3"/>
        <v/>
      </c>
    </row>
    <row r="13" spans="1:16">
      <c r="A13" s="64"/>
      <c r="B13" s="59"/>
      <c r="C13" s="59"/>
      <c r="D13" s="60"/>
      <c r="F13" s="58"/>
      <c r="G13" s="59"/>
      <c r="H13" s="60"/>
      <c r="I13" s="124"/>
      <c r="J13" s="87"/>
      <c r="K13" s="87"/>
      <c r="L13" s="125"/>
      <c r="N13" s="58" t="str">
        <f t="shared" si="1"/>
        <v/>
      </c>
      <c r="O13" s="59" t="str">
        <f t="shared" si="2"/>
        <v/>
      </c>
      <c r="P13" s="60" t="str">
        <f t="shared" si="3"/>
        <v/>
      </c>
    </row>
    <row r="14" spans="1:16">
      <c r="A14" s="64"/>
      <c r="B14" s="59"/>
      <c r="C14" s="59"/>
      <c r="D14" s="60"/>
      <c r="F14" s="58"/>
      <c r="G14" s="59"/>
      <c r="H14" s="60"/>
      <c r="I14" s="124"/>
      <c r="J14" s="87"/>
      <c r="K14" s="87"/>
      <c r="L14" s="125"/>
      <c r="N14" s="58" t="str">
        <f t="shared" si="1"/>
        <v/>
      </c>
      <c r="O14" s="59" t="str">
        <f t="shared" si="2"/>
        <v/>
      </c>
      <c r="P14" s="60" t="str">
        <f t="shared" si="3"/>
        <v/>
      </c>
    </row>
    <row r="15" spans="1:16">
      <c r="A15" s="64"/>
      <c r="B15" s="59"/>
      <c r="C15" s="59"/>
      <c r="D15" s="60"/>
      <c r="F15" s="58"/>
      <c r="G15" s="59"/>
      <c r="H15" s="60"/>
      <c r="I15" s="124"/>
      <c r="J15" s="87"/>
      <c r="K15" s="87"/>
      <c r="L15" s="125"/>
      <c r="N15" s="58" t="str">
        <f t="shared" si="1"/>
        <v/>
      </c>
      <c r="O15" s="59" t="str">
        <f t="shared" si="2"/>
        <v/>
      </c>
      <c r="P15" s="60" t="str">
        <f t="shared" si="3"/>
        <v/>
      </c>
    </row>
    <row r="16" spans="1:16" ht="13.8" thickBot="1">
      <c r="B16" s="59"/>
      <c r="C16" s="59"/>
      <c r="D16" s="59"/>
      <c r="E16" s="3"/>
      <c r="F16" s="59"/>
      <c r="G16" s="59"/>
      <c r="H16" s="59"/>
      <c r="N16" s="62" t="str">
        <f t="shared" si="1"/>
        <v/>
      </c>
      <c r="O16" s="62" t="str">
        <f t="shared" si="2"/>
        <v/>
      </c>
      <c r="P16" s="62" t="str">
        <f t="shared" si="3"/>
        <v/>
      </c>
    </row>
    <row r="17" spans="2:23">
      <c r="B17" s="59"/>
      <c r="C17" s="59"/>
      <c r="D17" s="59"/>
      <c r="F17" s="59"/>
      <c r="G17" s="59"/>
      <c r="H17" s="60"/>
      <c r="I17" s="114" t="s">
        <v>57</v>
      </c>
      <c r="J17" s="115"/>
      <c r="K17" s="115"/>
      <c r="L17" s="140"/>
      <c r="N17" s="132" t="s">
        <v>53</v>
      </c>
      <c r="O17" s="133"/>
      <c r="P17" s="133"/>
      <c r="Q17" s="115"/>
      <c r="R17" s="115"/>
      <c r="S17" s="115"/>
      <c r="T17" s="116"/>
      <c r="U17" s="57"/>
      <c r="V17" s="57"/>
      <c r="W17" s="57"/>
    </row>
    <row r="18" spans="2:23" ht="13.8" thickBot="1">
      <c r="B18" s="59"/>
      <c r="C18" s="59"/>
      <c r="D18" s="59"/>
      <c r="F18" s="59"/>
      <c r="G18" s="59"/>
      <c r="H18" s="60"/>
      <c r="I18" s="141">
        <f t="array" ref="I18:L21">[0]!FindMap.FindMap(B5:D16,F5:H16)</f>
        <v>0.9999962096192786</v>
      </c>
      <c r="J18" s="142">
        <v>2.7176833427126307E-3</v>
      </c>
      <c r="K18" s="142">
        <v>-4.4152499890149542E-4</v>
      </c>
      <c r="L18" s="143">
        <v>-2.724375186803627</v>
      </c>
      <c r="N18" s="61">
        <f>L18</f>
        <v>-2.724375186803627</v>
      </c>
      <c r="O18" s="62">
        <f>L19</f>
        <v>19.161845722732778</v>
      </c>
      <c r="P18" s="62">
        <f>L20</f>
        <v>-3.8444267327922717</v>
      </c>
      <c r="Q18" s="68">
        <f t="array" ref="Q18:T18">MatrixToQuaternion(I18:L21)</f>
        <v>0.99999905236589071</v>
      </c>
      <c r="R18" s="68">
        <v>-8.7726813701050506E-6</v>
      </c>
      <c r="S18" s="68">
        <v>-2.2077462917233546E-4</v>
      </c>
      <c r="T18" s="69">
        <v>-1.358841022247708E-3</v>
      </c>
      <c r="U18" s="57"/>
      <c r="V18" s="57"/>
      <c r="W18" s="57"/>
    </row>
    <row r="19" spans="2:23" ht="13.95" customHeight="1">
      <c r="B19" s="59"/>
      <c r="C19" s="59"/>
      <c r="D19" s="59"/>
      <c r="F19" s="59"/>
      <c r="G19" s="59"/>
      <c r="H19" s="60"/>
      <c r="I19" s="141">
        <v>-2.7176755955727254E-3</v>
      </c>
      <c r="J19" s="142">
        <v>0.99999630694823249</v>
      </c>
      <c r="K19" s="142">
        <v>1.8145336824902727E-5</v>
      </c>
      <c r="L19" s="143">
        <v>19.161845722732778</v>
      </c>
      <c r="Q19" s="71"/>
      <c r="R19" s="71"/>
      <c r="S19" s="71"/>
      <c r="T19" s="71"/>
      <c r="U19" s="57"/>
      <c r="V19" s="57"/>
      <c r="W19" s="57"/>
    </row>
    <row r="20" spans="2:23" ht="13.2" customHeight="1">
      <c r="B20" s="59"/>
      <c r="C20" s="59"/>
      <c r="D20" s="59"/>
      <c r="F20" s="59"/>
      <c r="G20" s="59"/>
      <c r="H20" s="60"/>
      <c r="I20" s="141">
        <v>4.4157268160645492E-4</v>
      </c>
      <c r="J20" s="142">
        <v>-1.6945346332694207E-5</v>
      </c>
      <c r="K20" s="142">
        <v>0.99999990236320624</v>
      </c>
      <c r="L20" s="143">
        <v>-3.8444267327922717</v>
      </c>
      <c r="N20" s="57"/>
      <c r="O20" s="57"/>
      <c r="Q20" s="57"/>
      <c r="R20" s="57"/>
      <c r="S20" s="57"/>
      <c r="T20" s="57"/>
      <c r="U20" s="57"/>
      <c r="V20" s="57"/>
      <c r="W20" s="57"/>
    </row>
    <row r="21" spans="2:23" ht="13.8" thickBot="1">
      <c r="B21" s="59"/>
      <c r="C21" s="59"/>
      <c r="D21" s="59"/>
      <c r="F21" s="59"/>
      <c r="G21" s="59"/>
      <c r="H21" s="60"/>
      <c r="I21" s="144">
        <v>0</v>
      </c>
      <c r="J21" s="145">
        <v>0</v>
      </c>
      <c r="K21" s="145">
        <v>0</v>
      </c>
      <c r="L21" s="146">
        <v>1</v>
      </c>
      <c r="N21" s="57"/>
      <c r="O21" s="57"/>
      <c r="Q21" s="57"/>
      <c r="R21" s="57"/>
      <c r="S21" s="57"/>
      <c r="T21" s="57"/>
      <c r="U21" s="57"/>
      <c r="V21" s="57"/>
      <c r="W21" s="57"/>
    </row>
    <row r="22" spans="2:23" ht="13.8" thickBot="1">
      <c r="B22" s="59"/>
      <c r="C22" s="59"/>
      <c r="D22" s="59"/>
      <c r="E22" s="3"/>
      <c r="F22" s="59"/>
      <c r="G22" s="59"/>
      <c r="H22" s="59"/>
      <c r="I22" s="79"/>
      <c r="J22" s="79"/>
      <c r="K22" s="79"/>
      <c r="L22" s="79"/>
      <c r="N22" s="72"/>
      <c r="O22" s="73"/>
      <c r="Q22" s="57"/>
      <c r="R22" s="57"/>
      <c r="S22" s="57"/>
      <c r="T22" s="57"/>
      <c r="U22" s="57"/>
      <c r="V22" s="57"/>
      <c r="W22" s="57"/>
    </row>
    <row r="23" spans="2:23">
      <c r="B23" s="59"/>
      <c r="C23" s="59"/>
      <c r="D23" s="59"/>
      <c r="F23" s="59"/>
      <c r="G23" s="59"/>
      <c r="H23" s="60"/>
      <c r="I23" s="134" t="s">
        <v>58</v>
      </c>
      <c r="J23" s="135"/>
      <c r="K23" s="135"/>
      <c r="L23" s="136"/>
      <c r="N23" s="114" t="s">
        <v>54</v>
      </c>
      <c r="O23" s="115"/>
      <c r="P23" s="115"/>
      <c r="Q23" s="115"/>
      <c r="R23" s="115"/>
      <c r="S23" s="115"/>
      <c r="T23" s="116"/>
      <c r="U23" s="57"/>
      <c r="V23" s="57"/>
      <c r="W23" s="57"/>
    </row>
    <row r="24" spans="2:23" ht="13.8" thickBot="1">
      <c r="B24" s="59"/>
      <c r="C24" s="59"/>
      <c r="D24" s="59"/>
      <c r="F24" s="59"/>
      <c r="G24" s="59"/>
      <c r="H24" s="60"/>
      <c r="I24" s="78">
        <f t="array" ref="I24:L27">MINVERSE(I18:L21)</f>
        <v>0.99999620961927849</v>
      </c>
      <c r="J24" s="79">
        <v>-2.7176755955727219E-3</v>
      </c>
      <c r="K24" s="79">
        <v>4.4157268160645481E-4</v>
      </c>
      <c r="L24" s="80">
        <v>2.7781381346928797</v>
      </c>
      <c r="N24" s="61">
        <f>L24</f>
        <v>2.7781381346928797</v>
      </c>
      <c r="O24" s="62">
        <f>L25</f>
        <v>-19.154436113122532</v>
      </c>
      <c r="P24" s="62">
        <f>L26</f>
        <v>3.8428757795385873</v>
      </c>
      <c r="Q24" s="68">
        <f t="array" ref="Q24:T24">MatrixToQuaternion(I24:L27)</f>
        <v>0.99999905236589071</v>
      </c>
      <c r="R24" s="68">
        <v>8.7726782062399287E-6</v>
      </c>
      <c r="S24" s="68">
        <v>2.2077462954949264E-4</v>
      </c>
      <c r="T24" s="69">
        <v>1.3588410222477082E-3</v>
      </c>
      <c r="U24" s="57"/>
      <c r="V24" s="57"/>
      <c r="W24" s="57"/>
    </row>
    <row r="25" spans="2:23">
      <c r="B25" s="59"/>
      <c r="C25" s="59"/>
      <c r="D25" s="59"/>
      <c r="F25" s="59"/>
      <c r="G25" s="59"/>
      <c r="H25" s="60"/>
      <c r="I25" s="78">
        <v>2.7176833427126346E-3</v>
      </c>
      <c r="J25" s="79">
        <v>0.99999630694823283</v>
      </c>
      <c r="K25" s="79">
        <v>-1.6945346332817976E-5</v>
      </c>
      <c r="L25" s="80">
        <v>-19.154436113122532</v>
      </c>
      <c r="U25" s="57"/>
      <c r="V25" s="57"/>
      <c r="W25" s="57"/>
    </row>
    <row r="26" spans="2:23">
      <c r="B26" s="59"/>
      <c r="C26" s="59"/>
      <c r="D26" s="59"/>
      <c r="F26" s="59"/>
      <c r="G26" s="59"/>
      <c r="H26" s="60"/>
      <c r="I26" s="78">
        <v>-4.4152499890149575E-4</v>
      </c>
      <c r="J26" s="79">
        <v>1.8145336824778961E-5</v>
      </c>
      <c r="K26" s="79">
        <v>0.99999990236320624</v>
      </c>
      <c r="L26" s="80">
        <v>3.8428757795385873</v>
      </c>
      <c r="U26" s="57"/>
      <c r="V26" s="57"/>
      <c r="W26" s="57"/>
    </row>
    <row r="27" spans="2:23" ht="13.8" thickBot="1">
      <c r="B27" s="59"/>
      <c r="C27" s="59"/>
      <c r="D27" s="59"/>
      <c r="F27" s="59"/>
      <c r="G27" s="59"/>
      <c r="H27" s="60"/>
      <c r="I27" s="81">
        <v>0</v>
      </c>
      <c r="J27" s="68">
        <v>0</v>
      </c>
      <c r="K27" s="68">
        <v>0</v>
      </c>
      <c r="L27" s="69">
        <v>1</v>
      </c>
      <c r="N27" s="3"/>
      <c r="O27" s="3"/>
      <c r="P27" s="3"/>
      <c r="Q27" s="3"/>
      <c r="R27" s="3"/>
      <c r="S27" s="3"/>
      <c r="T27" s="3"/>
      <c r="U27" s="57"/>
      <c r="V27" s="57"/>
      <c r="W27" s="57"/>
    </row>
    <row r="28" spans="2:23" ht="13.8" thickBot="1">
      <c r="B28" s="59"/>
      <c r="C28" s="59"/>
      <c r="D28" s="59"/>
      <c r="E28" s="3"/>
      <c r="F28" s="59"/>
      <c r="G28" s="59"/>
      <c r="H28" s="59"/>
      <c r="N28" s="3"/>
      <c r="O28" s="3"/>
      <c r="P28" s="3"/>
      <c r="Q28" s="70"/>
      <c r="R28" s="70"/>
      <c r="S28" s="70"/>
      <c r="T28" s="57"/>
      <c r="U28" s="57"/>
      <c r="V28" s="57"/>
      <c r="W28" s="57"/>
    </row>
    <row r="29" spans="2:23">
      <c r="B29" s="59"/>
      <c r="C29" s="59"/>
      <c r="D29" s="59"/>
      <c r="F29" s="59"/>
      <c r="G29" s="59"/>
      <c r="H29" s="60"/>
      <c r="I29" s="114" t="s">
        <v>51</v>
      </c>
      <c r="J29" s="115"/>
      <c r="K29" s="116"/>
      <c r="M29" s="70"/>
      <c r="N29" s="70"/>
      <c r="O29" s="70"/>
      <c r="P29" s="3"/>
      <c r="Q29" s="70"/>
      <c r="R29" s="70"/>
      <c r="S29" s="70"/>
      <c r="T29" s="57"/>
      <c r="U29" s="117"/>
      <c r="V29" s="117"/>
      <c r="W29" s="117"/>
    </row>
    <row r="30" spans="2:23">
      <c r="B30" s="59"/>
      <c r="C30" s="59"/>
      <c r="D30" s="59"/>
      <c r="F30" s="59"/>
      <c r="G30" s="59"/>
      <c r="H30" s="60"/>
      <c r="I30" s="13">
        <f>$I$18*B5+$J$18*C5+$K$18*D5+$L$18</f>
        <v>7380.9530540180585</v>
      </c>
      <c r="J30" s="5">
        <f>$I$19*B5+$J$19*C5+$K$19*D5+$L$19</f>
        <v>1500.8771002522528</v>
      </c>
      <c r="K30" s="76">
        <f>$I$20*B5+$J$20*C5+$K$20*D5+$L$20</f>
        <v>2520.7210117041291</v>
      </c>
      <c r="M30" s="70"/>
      <c r="N30" s="7"/>
      <c r="O30" s="7"/>
      <c r="P30" s="7"/>
      <c r="Q30" s="82"/>
      <c r="R30" s="7"/>
      <c r="S30" s="7"/>
      <c r="T30" s="7"/>
      <c r="U30" s="70"/>
      <c r="V30" s="70"/>
      <c r="W30" s="70"/>
    </row>
    <row r="31" spans="2:23" ht="14.4">
      <c r="B31" s="59"/>
      <c r="C31" s="59"/>
      <c r="D31" s="59"/>
      <c r="F31" s="59"/>
      <c r="G31" s="59"/>
      <c r="H31" s="60"/>
      <c r="I31" s="13">
        <f>$I$18*B6+$J$18*C6+$K$18*D6+$L$18</f>
        <v>7376.0453039788717</v>
      </c>
      <c r="J31" s="5">
        <f>$I$19*B6+$J$19*C6+$K$19*D6+$L$19</f>
        <v>1562.9330778387882</v>
      </c>
      <c r="K31" s="76">
        <f>$I$20*B6+$J$20*C6+$K$20*D6+$L$20</f>
        <v>2320.7073992544956</v>
      </c>
      <c r="M31" s="70"/>
      <c r="N31" s="84"/>
      <c r="O31" s="84"/>
      <c r="P31" s="84"/>
      <c r="Q31" s="7"/>
      <c r="R31" s="83"/>
      <c r="S31" s="83"/>
      <c r="T31" s="83"/>
      <c r="U31" s="70"/>
      <c r="V31" s="70"/>
      <c r="W31" s="70"/>
    </row>
    <row r="32" spans="2:23" ht="14.4">
      <c r="B32" s="59"/>
      <c r="C32" s="59"/>
      <c r="D32" s="59"/>
      <c r="F32" s="59"/>
      <c r="G32" s="59"/>
      <c r="H32" s="60"/>
      <c r="I32" s="13">
        <f>$I$18*B7+$J$18*C7+$K$18*D7+$L$18</f>
        <v>7377.3575724363727</v>
      </c>
      <c r="J32" s="5">
        <f>$I$19*B7+$J$19*C7+$K$19*D7+$L$19</f>
        <v>1406.9174809466101</v>
      </c>
      <c r="K32" s="76">
        <f>$I$20*B7+$J$20*C7+$K$20*D7+$L$20</f>
        <v>1969.319575301</v>
      </c>
      <c r="M32" s="70"/>
      <c r="N32" s="84"/>
      <c r="O32" s="84"/>
      <c r="P32" s="84"/>
      <c r="Q32" s="7"/>
      <c r="R32" s="85"/>
      <c r="S32" s="85"/>
      <c r="T32" s="85"/>
      <c r="U32" s="70"/>
      <c r="V32" s="70"/>
      <c r="W32" s="70"/>
    </row>
    <row r="33" spans="2:23" ht="14.4">
      <c r="B33" s="59"/>
      <c r="C33" s="59"/>
      <c r="D33" s="59"/>
      <c r="F33" s="59"/>
      <c r="G33" s="59"/>
      <c r="H33" s="60"/>
      <c r="I33" s="13">
        <f>IF(NOT(ISBLANK(B8)),$I$18*B8+$J$18*C8+$K$18*D8+$L$18,"")</f>
        <v>7379.355444943043</v>
      </c>
      <c r="J33" s="5">
        <f>IF(NOT(ISBLANK(B8)),$I$19*B8+$J$19*C8+$K$19*D8+$L$19,"")</f>
        <v>1349.0592558625431</v>
      </c>
      <c r="K33" s="76">
        <f>IF(NOT(ISBLANK(B8)),$I$20*B8+$J$20*C8+$K$20*D8+$L$20,"")</f>
        <v>2595.9325684491218</v>
      </c>
      <c r="M33" s="70"/>
      <c r="N33" s="84"/>
      <c r="O33" s="84"/>
      <c r="P33" s="84"/>
      <c r="Q33" s="7"/>
      <c r="R33" s="85"/>
      <c r="S33" s="85"/>
      <c r="T33" s="85"/>
      <c r="U33" s="70"/>
      <c r="V33" s="70"/>
      <c r="W33" s="70"/>
    </row>
    <row r="34" spans="2:23" ht="14.4">
      <c r="B34" s="59"/>
      <c r="C34" s="59"/>
      <c r="D34" s="59"/>
      <c r="F34" s="59"/>
      <c r="G34" s="59"/>
      <c r="H34" s="60"/>
      <c r="I34" s="13">
        <f t="shared" ref="I34:I44" si="4">IF(NOT(ISBLANK(B9)),$I$18*B9+$J$18*C9+$K$18*D9+$L$18,"")</f>
        <v>7377.3523501112095</v>
      </c>
      <c r="J34" s="5">
        <f t="shared" ref="J34:J44" si="5">IF(NOT(ISBLANK(B9)),$I$19*B9+$J$19*C9+$K$19*D9+$L$19,"")</f>
        <v>1403.9361389177159</v>
      </c>
      <c r="K34" s="76">
        <f t="shared" ref="K34:K44" si="6">IF(NOT(ISBLANK(B9)),$I$20*B9+$J$20*C9+$K$20*D9+$L$20,"")</f>
        <v>2568.5866856031876</v>
      </c>
      <c r="M34" s="70"/>
      <c r="N34" s="84"/>
      <c r="O34" s="84"/>
      <c r="P34" s="84"/>
      <c r="Q34" s="7"/>
      <c r="R34" s="83"/>
      <c r="S34" s="83"/>
      <c r="T34" s="83"/>
      <c r="U34" s="70"/>
      <c r="V34" s="70"/>
      <c r="W34" s="70"/>
    </row>
    <row r="35" spans="2:23" ht="14.4">
      <c r="B35" s="59"/>
      <c r="C35" s="59"/>
      <c r="D35" s="59"/>
      <c r="F35" s="59"/>
      <c r="G35" s="59"/>
      <c r="H35" s="60"/>
      <c r="I35" s="13">
        <f t="shared" si="4"/>
        <v>7379.0602745124406</v>
      </c>
      <c r="J35" s="5">
        <f t="shared" si="5"/>
        <v>1457.8019461820913</v>
      </c>
      <c r="K35" s="76">
        <f t="shared" si="6"/>
        <v>2542.0267596880644</v>
      </c>
      <c r="M35" s="70"/>
      <c r="N35" s="84"/>
      <c r="O35" s="84"/>
      <c r="P35" s="84"/>
      <c r="Q35" s="7"/>
      <c r="R35" s="83"/>
      <c r="S35" s="83"/>
      <c r="T35" s="83"/>
      <c r="U35" s="70"/>
      <c r="V35" s="70"/>
      <c r="W35" s="70"/>
    </row>
    <row r="36" spans="2:23" ht="14.4">
      <c r="B36" s="59"/>
      <c r="C36" s="59"/>
      <c r="D36" s="59"/>
      <c r="F36" s="59"/>
      <c r="G36" s="59"/>
      <c r="H36" s="60"/>
      <c r="I36" s="13" t="str">
        <f t="shared" si="4"/>
        <v/>
      </c>
      <c r="J36" s="5" t="str">
        <f t="shared" si="5"/>
        <v/>
      </c>
      <c r="K36" s="76" t="str">
        <f t="shared" si="6"/>
        <v/>
      </c>
      <c r="M36" s="70"/>
      <c r="N36" s="84"/>
      <c r="O36" s="84"/>
      <c r="P36" s="84"/>
      <c r="Q36" s="7"/>
      <c r="R36" s="83"/>
      <c r="S36" s="83"/>
      <c r="T36" s="83"/>
      <c r="U36" s="70"/>
      <c r="V36" s="70"/>
      <c r="W36" s="70"/>
    </row>
    <row r="37" spans="2:23">
      <c r="B37" s="59"/>
      <c r="C37" s="59"/>
      <c r="D37" s="59"/>
      <c r="F37" s="59"/>
      <c r="G37" s="59"/>
      <c r="H37" s="60"/>
      <c r="I37" s="58" t="str">
        <f t="shared" si="4"/>
        <v/>
      </c>
      <c r="J37" s="59" t="str">
        <f t="shared" si="5"/>
        <v/>
      </c>
      <c r="K37" s="60" t="str">
        <f t="shared" si="6"/>
        <v/>
      </c>
      <c r="M37" s="57"/>
      <c r="N37" s="57"/>
      <c r="O37" s="57"/>
      <c r="P37" s="57"/>
      <c r="Q37" s="57"/>
      <c r="R37" s="57"/>
      <c r="S37" s="57"/>
      <c r="T37" s="57"/>
      <c r="U37" s="70"/>
      <c r="V37" s="70"/>
      <c r="W37" s="70"/>
    </row>
    <row r="38" spans="2:23">
      <c r="B38" s="59"/>
      <c r="C38" s="59"/>
      <c r="D38" s="59"/>
      <c r="F38" s="59"/>
      <c r="G38" s="59"/>
      <c r="H38" s="60"/>
      <c r="I38" s="58" t="str">
        <f t="shared" si="4"/>
        <v/>
      </c>
      <c r="J38" s="59" t="str">
        <f t="shared" si="5"/>
        <v/>
      </c>
      <c r="K38" s="60" t="str">
        <f t="shared" si="6"/>
        <v/>
      </c>
      <c r="M38" s="70"/>
      <c r="N38" s="70"/>
      <c r="O38" s="57"/>
      <c r="P38" s="57"/>
      <c r="Q38" s="57"/>
      <c r="R38" s="70"/>
      <c r="S38" s="57"/>
      <c r="T38" s="57"/>
      <c r="U38" s="70"/>
      <c r="V38" s="70"/>
      <c r="W38" s="70"/>
    </row>
    <row r="39" spans="2:23">
      <c r="B39" s="59"/>
      <c r="C39" s="59"/>
      <c r="D39" s="59"/>
      <c r="F39" s="59"/>
      <c r="G39" s="59"/>
      <c r="H39" s="60"/>
      <c r="I39" s="58" t="str">
        <f t="shared" si="4"/>
        <v/>
      </c>
      <c r="J39" s="59" t="str">
        <f t="shared" si="5"/>
        <v/>
      </c>
      <c r="K39" s="60" t="str">
        <f t="shared" si="6"/>
        <v/>
      </c>
      <c r="M39" s="70"/>
      <c r="N39" s="57"/>
      <c r="O39" s="57"/>
      <c r="P39" s="57"/>
      <c r="Q39" s="57"/>
      <c r="R39" s="57"/>
      <c r="S39" s="57"/>
      <c r="T39" s="70"/>
      <c r="U39" s="57"/>
      <c r="V39" s="57"/>
      <c r="W39" s="57"/>
    </row>
    <row r="40" spans="2:23">
      <c r="B40" s="59"/>
      <c r="C40" s="59"/>
      <c r="D40" s="59"/>
      <c r="F40" s="59"/>
      <c r="G40" s="59"/>
      <c r="H40" s="60"/>
      <c r="I40" s="58" t="str">
        <f t="shared" si="4"/>
        <v/>
      </c>
      <c r="J40" s="59" t="str">
        <f t="shared" si="5"/>
        <v/>
      </c>
      <c r="K40" s="60" t="str">
        <f t="shared" si="6"/>
        <v/>
      </c>
      <c r="M40" s="70"/>
      <c r="N40" s="70"/>
      <c r="O40" s="70"/>
      <c r="P40" s="70"/>
      <c r="Q40" s="70"/>
      <c r="R40" s="70"/>
      <c r="S40" s="70"/>
      <c r="T40" s="70"/>
      <c r="U40" s="70"/>
      <c r="V40" s="57"/>
      <c r="W40" s="57"/>
    </row>
    <row r="41" spans="2:23">
      <c r="B41" s="59"/>
      <c r="C41" s="59"/>
      <c r="D41" s="59"/>
      <c r="F41" s="59"/>
      <c r="G41" s="59"/>
      <c r="H41" s="60"/>
      <c r="I41" s="58" t="str">
        <f t="shared" si="4"/>
        <v/>
      </c>
      <c r="J41" s="59" t="str">
        <f t="shared" si="5"/>
        <v/>
      </c>
      <c r="K41" s="60" t="str">
        <f t="shared" si="6"/>
        <v/>
      </c>
      <c r="M41" s="70"/>
      <c r="N41" s="70"/>
      <c r="O41" s="70"/>
      <c r="P41" s="70"/>
      <c r="Q41" s="57"/>
      <c r="R41" s="70"/>
      <c r="S41" s="70"/>
      <c r="T41" s="70"/>
    </row>
    <row r="42" spans="2:23">
      <c r="I42" s="58" t="str">
        <f t="shared" si="4"/>
        <v/>
      </c>
      <c r="J42" s="59" t="str">
        <f t="shared" si="5"/>
        <v/>
      </c>
      <c r="K42" s="60" t="str">
        <f t="shared" si="6"/>
        <v/>
      </c>
      <c r="M42" s="70"/>
      <c r="N42" s="70"/>
      <c r="O42" s="70"/>
      <c r="P42" s="70"/>
      <c r="Q42" s="57"/>
      <c r="R42" s="70"/>
      <c r="S42" s="70"/>
      <c r="T42" s="70"/>
    </row>
    <row r="43" spans="2:23">
      <c r="I43" s="58" t="str">
        <f t="shared" si="4"/>
        <v/>
      </c>
      <c r="J43" s="59" t="str">
        <f t="shared" si="5"/>
        <v/>
      </c>
      <c r="K43" s="60" t="str">
        <f t="shared" si="6"/>
        <v/>
      </c>
      <c r="M43" s="70"/>
      <c r="N43" s="70"/>
      <c r="O43" s="70"/>
      <c r="P43" s="70"/>
      <c r="Q43" s="57"/>
      <c r="R43" s="70"/>
      <c r="S43" s="70"/>
      <c r="T43" s="70"/>
    </row>
    <row r="44" spans="2:23">
      <c r="I44" s="58" t="str">
        <f t="shared" si="4"/>
        <v/>
      </c>
      <c r="J44" s="59" t="str">
        <f t="shared" si="5"/>
        <v/>
      </c>
      <c r="K44" s="60" t="str">
        <f t="shared" si="6"/>
        <v/>
      </c>
      <c r="M44" s="70"/>
      <c r="N44" s="70"/>
      <c r="O44" s="70"/>
      <c r="P44" s="70"/>
      <c r="Q44" s="57"/>
      <c r="R44" s="70"/>
      <c r="S44" s="70"/>
      <c r="T44" s="70"/>
    </row>
    <row r="45" spans="2:23" ht="13.2" customHeight="1">
      <c r="M45" s="70"/>
      <c r="N45" s="70"/>
      <c r="O45" s="70"/>
      <c r="P45" s="70"/>
      <c r="Q45" s="57"/>
      <c r="R45" s="70"/>
      <c r="S45" s="70"/>
      <c r="T45" s="70"/>
    </row>
    <row r="46" spans="2:23">
      <c r="M46" s="57"/>
      <c r="N46" s="57"/>
      <c r="O46" s="57"/>
      <c r="P46" s="57"/>
      <c r="Q46" s="57"/>
      <c r="R46" s="57"/>
      <c r="S46" s="57"/>
      <c r="T46" s="57"/>
    </row>
    <row r="47" spans="2:23">
      <c r="M47" s="57"/>
      <c r="N47" s="57"/>
      <c r="O47" s="57"/>
      <c r="P47" s="57"/>
      <c r="Q47" s="57"/>
      <c r="R47" s="57"/>
      <c r="S47" s="57"/>
      <c r="T47" s="57"/>
    </row>
  </sheetData>
  <mergeCells count="13">
    <mergeCell ref="A1:L1"/>
    <mergeCell ref="N17:T17"/>
    <mergeCell ref="I23:L23"/>
    <mergeCell ref="N23:T23"/>
    <mergeCell ref="B3:D3"/>
    <mergeCell ref="F3:H3"/>
    <mergeCell ref="I17:L17"/>
    <mergeCell ref="U29:W29"/>
    <mergeCell ref="A3:A4"/>
    <mergeCell ref="N3:P3"/>
    <mergeCell ref="I8:L15"/>
    <mergeCell ref="I5:L7"/>
    <mergeCell ref="I29:K29"/>
  </mergeCells>
  <phoneticPr fontId="10" type="noConversion"/>
  <pageMargins left="0.75" right="0.75" top="1" bottom="1" header="0.5" footer="0.5"/>
  <pageSetup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 notes</vt:lpstr>
      <vt:lpstr>Unitized cross product example</vt:lpstr>
      <vt:lpstr>Dot product example</vt:lpstr>
      <vt:lpstr>Vector Length example</vt:lpstr>
      <vt:lpstr>Corner-Edge NTM conversions</vt:lpstr>
      <vt:lpstr>Points-to-Points</vt:lpstr>
    </vt:vector>
  </TitlesOfParts>
  <Company>Perceptron,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Greer</dc:creator>
  <cp:lastModifiedBy>brettb</cp:lastModifiedBy>
  <dcterms:created xsi:type="dcterms:W3CDTF">2004-07-26T13:06:53Z</dcterms:created>
  <dcterms:modified xsi:type="dcterms:W3CDTF">2010-07-12T20:08:34Z</dcterms:modified>
</cp:coreProperties>
</file>